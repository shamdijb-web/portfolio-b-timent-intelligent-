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se\Desktop\sami\"/>
    </mc:Choice>
  </mc:AlternateContent>
  <xr:revisionPtr revIDLastSave="0" documentId="8_{7F2B2682-832A-4113-989D-32246D37589B}" xr6:coauthVersionLast="47" xr6:coauthVersionMax="47" xr10:uidLastSave="{00000000-0000-0000-0000-000000000000}"/>
  <bookViews>
    <workbookView xWindow="-110" yWindow="-110" windowWidth="19420" windowHeight="11500" xr2:uid="{8461A82F-39F1-4A5A-97BF-3705F4389599}"/>
  </bookViews>
  <sheets>
    <sheet name="open-meteo-48.85N2.35E43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3" i="1"/>
  <c r="D2" i="1" l="1"/>
  <c r="F2" i="1" s="1"/>
  <c r="G2" i="1" s="1"/>
  <c r="E2" i="1"/>
  <c r="C3" i="1" l="1"/>
  <c r="E3" i="1" s="1"/>
  <c r="D3" i="1" l="1"/>
  <c r="F3" i="1" s="1"/>
  <c r="G3" i="1" s="1"/>
  <c r="C4" i="1" l="1"/>
  <c r="D4" i="1" l="1"/>
  <c r="E4" i="1"/>
  <c r="C5" i="1" l="1"/>
  <c r="F4" i="1"/>
  <c r="G4" i="1" s="1"/>
  <c r="D5" i="1" l="1"/>
  <c r="E5" i="1"/>
  <c r="C6" i="1" l="1"/>
  <c r="F5" i="1"/>
  <c r="G5" i="1" s="1"/>
  <c r="D6" i="1" l="1"/>
  <c r="E6" i="1"/>
  <c r="C7" i="1" l="1"/>
  <c r="F6" i="1"/>
  <c r="G6" i="1" s="1"/>
  <c r="D7" i="1" l="1"/>
  <c r="E7" i="1"/>
  <c r="C8" i="1" l="1"/>
  <c r="F7" i="1"/>
  <c r="G7" i="1" s="1"/>
  <c r="D8" i="1" l="1"/>
  <c r="E8" i="1"/>
  <c r="C9" i="1" l="1"/>
  <c r="F8" i="1"/>
  <c r="G8" i="1" s="1"/>
  <c r="D9" i="1" l="1"/>
  <c r="E9" i="1"/>
  <c r="C10" i="1" l="1"/>
  <c r="F9" i="1"/>
  <c r="G9" i="1" s="1"/>
  <c r="D10" i="1" l="1"/>
  <c r="E10" i="1"/>
  <c r="C11" i="1" l="1"/>
  <c r="F10" i="1"/>
  <c r="G10" i="1" s="1"/>
  <c r="D11" i="1" l="1"/>
  <c r="E11" i="1"/>
  <c r="C12" i="1" l="1"/>
  <c r="F11" i="1"/>
  <c r="G11" i="1" s="1"/>
  <c r="D12" i="1" l="1"/>
  <c r="E12" i="1"/>
  <c r="C13" i="1" l="1"/>
  <c r="F12" i="1"/>
  <c r="G12" i="1" s="1"/>
  <c r="D13" i="1" l="1"/>
  <c r="F13" i="1" s="1"/>
  <c r="G13" i="1" s="1"/>
  <c r="E13" i="1"/>
  <c r="C14" i="1" l="1"/>
  <c r="D14" i="1" l="1"/>
  <c r="F14" i="1" s="1"/>
  <c r="G14" i="1" s="1"/>
  <c r="E14" i="1"/>
  <c r="C15" i="1" l="1"/>
  <c r="D15" i="1" l="1"/>
  <c r="E15" i="1"/>
  <c r="C16" i="1" l="1"/>
  <c r="F15" i="1"/>
  <c r="G15" i="1" s="1"/>
  <c r="D16" i="1" l="1"/>
  <c r="E16" i="1"/>
  <c r="C17" i="1" l="1"/>
  <c r="F16" i="1"/>
  <c r="G16" i="1" s="1"/>
  <c r="D17" i="1" l="1"/>
  <c r="E17" i="1"/>
  <c r="C18" i="1" l="1"/>
  <c r="F17" i="1"/>
  <c r="G17" i="1" s="1"/>
  <c r="D18" i="1" l="1"/>
  <c r="F18" i="1" s="1"/>
  <c r="G18" i="1" s="1"/>
  <c r="E18" i="1"/>
  <c r="C19" i="1" l="1"/>
  <c r="D19" i="1" l="1"/>
  <c r="F19" i="1" s="1"/>
  <c r="G19" i="1" s="1"/>
  <c r="E19" i="1"/>
  <c r="C20" i="1" l="1"/>
  <c r="D20" i="1" l="1"/>
  <c r="E20" i="1"/>
  <c r="C21" i="1" l="1"/>
  <c r="F20" i="1"/>
  <c r="G20" i="1" s="1"/>
  <c r="D21" i="1" l="1"/>
  <c r="E21" i="1"/>
  <c r="C22" i="1" l="1"/>
  <c r="F21" i="1"/>
  <c r="G21" i="1" s="1"/>
  <c r="D22" i="1" l="1"/>
  <c r="E22" i="1"/>
  <c r="C23" i="1" l="1"/>
  <c r="F22" i="1"/>
  <c r="G22" i="1" s="1"/>
  <c r="D23" i="1" l="1"/>
  <c r="E23" i="1"/>
  <c r="C24" i="1" l="1"/>
  <c r="F23" i="1"/>
  <c r="G23" i="1" s="1"/>
  <c r="D24" i="1" l="1"/>
  <c r="E24" i="1"/>
  <c r="C25" i="1" l="1"/>
  <c r="F24" i="1"/>
  <c r="G24" i="1" s="1"/>
  <c r="D25" i="1" l="1"/>
  <c r="E25" i="1"/>
  <c r="C26" i="1" l="1"/>
  <c r="F25" i="1"/>
  <c r="G25" i="1" s="1"/>
  <c r="D26" i="1" l="1"/>
  <c r="E26" i="1"/>
  <c r="C27" i="1" l="1"/>
  <c r="F26" i="1"/>
  <c r="G26" i="1" s="1"/>
  <c r="D27" i="1" l="1"/>
  <c r="F27" i="1" s="1"/>
  <c r="G27" i="1" s="1"/>
  <c r="E27" i="1"/>
  <c r="C28" i="1" l="1"/>
  <c r="D28" i="1" l="1"/>
  <c r="F28" i="1" s="1"/>
  <c r="G28" i="1" s="1"/>
  <c r="E28" i="1"/>
  <c r="C29" i="1" l="1"/>
  <c r="D29" i="1" l="1"/>
  <c r="E29" i="1"/>
  <c r="C30" i="1" l="1"/>
  <c r="F29" i="1"/>
  <c r="G29" i="1" s="1"/>
  <c r="D30" i="1" l="1"/>
  <c r="E30" i="1"/>
  <c r="C31" i="1" l="1"/>
  <c r="F30" i="1"/>
  <c r="G30" i="1" s="1"/>
  <c r="D31" i="1" l="1"/>
  <c r="E31" i="1"/>
  <c r="C32" i="1" l="1"/>
  <c r="F31" i="1"/>
  <c r="G31" i="1" s="1"/>
  <c r="D32" i="1" l="1"/>
  <c r="E32" i="1"/>
  <c r="C33" i="1" l="1"/>
  <c r="F32" i="1"/>
  <c r="G32" i="1" s="1"/>
  <c r="D33" i="1" l="1"/>
  <c r="E33" i="1"/>
  <c r="C34" i="1" l="1"/>
  <c r="F33" i="1"/>
  <c r="G33" i="1" s="1"/>
  <c r="D34" i="1" l="1"/>
  <c r="E34" i="1"/>
  <c r="C35" i="1" l="1"/>
  <c r="F34" i="1"/>
  <c r="G34" i="1" s="1"/>
  <c r="D35" i="1" l="1"/>
  <c r="E35" i="1"/>
  <c r="C36" i="1" l="1"/>
  <c r="F35" i="1"/>
  <c r="G35" i="1" s="1"/>
  <c r="D36" i="1" l="1"/>
  <c r="E36" i="1"/>
  <c r="C37" i="1" l="1"/>
  <c r="F36" i="1"/>
  <c r="G36" i="1" s="1"/>
  <c r="D37" i="1" l="1"/>
  <c r="E37" i="1"/>
  <c r="C38" i="1" l="1"/>
  <c r="F37" i="1"/>
  <c r="G37" i="1" s="1"/>
  <c r="D38" i="1" l="1"/>
  <c r="E38" i="1"/>
  <c r="C39" i="1" l="1"/>
  <c r="F38" i="1"/>
  <c r="G38" i="1" s="1"/>
  <c r="D39" i="1" l="1"/>
  <c r="E39" i="1"/>
  <c r="C40" i="1" l="1"/>
  <c r="F39" i="1"/>
  <c r="G39" i="1" s="1"/>
  <c r="D40" i="1" l="1"/>
  <c r="E40" i="1"/>
  <c r="C41" i="1" l="1"/>
  <c r="F40" i="1"/>
  <c r="G40" i="1" s="1"/>
  <c r="D41" i="1" l="1"/>
  <c r="E41" i="1"/>
  <c r="C42" i="1" l="1"/>
  <c r="F41" i="1"/>
  <c r="G41" i="1" s="1"/>
  <c r="D42" i="1" l="1"/>
  <c r="E42" i="1"/>
  <c r="C43" i="1" l="1"/>
  <c r="F42" i="1"/>
  <c r="G42" i="1" s="1"/>
  <c r="D43" i="1" l="1"/>
  <c r="E43" i="1"/>
  <c r="C44" i="1" l="1"/>
  <c r="F43" i="1"/>
  <c r="G43" i="1" s="1"/>
  <c r="D44" i="1" l="1"/>
  <c r="E44" i="1"/>
  <c r="C45" i="1" l="1"/>
  <c r="F44" i="1"/>
  <c r="G44" i="1" s="1"/>
  <c r="D45" i="1" l="1"/>
  <c r="E45" i="1"/>
  <c r="C46" i="1" l="1"/>
  <c r="F45" i="1"/>
  <c r="G45" i="1" s="1"/>
  <c r="D46" i="1" l="1"/>
  <c r="E46" i="1"/>
  <c r="C47" i="1" l="1"/>
  <c r="F46" i="1"/>
  <c r="G46" i="1" s="1"/>
  <c r="D47" i="1" l="1"/>
  <c r="E47" i="1"/>
  <c r="C48" i="1" l="1"/>
  <c r="F47" i="1"/>
  <c r="G47" i="1" s="1"/>
  <c r="D48" i="1" l="1"/>
  <c r="E48" i="1"/>
  <c r="C49" i="1" l="1"/>
  <c r="F48" i="1"/>
  <c r="G48" i="1" s="1"/>
  <c r="D49" i="1" l="1"/>
  <c r="E49" i="1"/>
  <c r="C50" i="1" l="1"/>
  <c r="F49" i="1"/>
  <c r="G49" i="1" s="1"/>
  <c r="D50" i="1" l="1"/>
  <c r="E50" i="1"/>
  <c r="C51" i="1" l="1"/>
  <c r="F50" i="1"/>
  <c r="G50" i="1" s="1"/>
  <c r="D51" i="1" l="1"/>
  <c r="E51" i="1"/>
  <c r="C52" i="1" l="1"/>
  <c r="F51" i="1"/>
  <c r="G51" i="1" s="1"/>
  <c r="D52" i="1" l="1"/>
  <c r="E52" i="1"/>
  <c r="C53" i="1" l="1"/>
  <c r="F52" i="1"/>
  <c r="G52" i="1" s="1"/>
  <c r="D53" i="1" l="1"/>
  <c r="E53" i="1"/>
  <c r="C54" i="1" l="1"/>
  <c r="F53" i="1"/>
  <c r="G53" i="1" s="1"/>
  <c r="D54" i="1" l="1"/>
  <c r="E54" i="1"/>
  <c r="C55" i="1" l="1"/>
  <c r="F54" i="1"/>
  <c r="G54" i="1" s="1"/>
  <c r="D55" i="1" l="1"/>
  <c r="E55" i="1"/>
  <c r="C56" i="1" l="1"/>
  <c r="F55" i="1"/>
  <c r="G55" i="1" s="1"/>
  <c r="D56" i="1" l="1"/>
  <c r="E56" i="1"/>
  <c r="C57" i="1" l="1"/>
  <c r="F56" i="1"/>
  <c r="G56" i="1" s="1"/>
  <c r="D57" i="1" l="1"/>
  <c r="E57" i="1"/>
  <c r="C58" i="1" l="1"/>
  <c r="F57" i="1"/>
  <c r="G57" i="1" s="1"/>
  <c r="D58" i="1" l="1"/>
  <c r="E58" i="1"/>
  <c r="C59" i="1" l="1"/>
  <c r="F58" i="1"/>
  <c r="G58" i="1" s="1"/>
  <c r="D59" i="1" l="1"/>
  <c r="E59" i="1"/>
  <c r="C60" i="1" l="1"/>
  <c r="F59" i="1"/>
  <c r="G59" i="1" s="1"/>
  <c r="D60" i="1" l="1"/>
  <c r="E60" i="1"/>
  <c r="C61" i="1" l="1"/>
  <c r="F60" i="1"/>
  <c r="G60" i="1" s="1"/>
  <c r="D61" i="1" l="1"/>
  <c r="E61" i="1"/>
  <c r="C62" i="1" l="1"/>
  <c r="F61" i="1"/>
  <c r="G61" i="1" s="1"/>
  <c r="D62" i="1" l="1"/>
  <c r="E62" i="1"/>
  <c r="C63" i="1" l="1"/>
  <c r="F62" i="1"/>
  <c r="G62" i="1" s="1"/>
  <c r="D63" i="1" l="1"/>
  <c r="E63" i="1"/>
  <c r="C64" i="1" l="1"/>
  <c r="F63" i="1"/>
  <c r="G63" i="1" s="1"/>
  <c r="D64" i="1" l="1"/>
  <c r="E64" i="1"/>
  <c r="C65" i="1" l="1"/>
  <c r="F64" i="1"/>
  <c r="G64" i="1" s="1"/>
  <c r="D65" i="1" l="1"/>
  <c r="E65" i="1"/>
  <c r="C66" i="1" l="1"/>
  <c r="F65" i="1"/>
  <c r="G65" i="1" s="1"/>
  <c r="D66" i="1" l="1"/>
  <c r="E66" i="1"/>
  <c r="C67" i="1" l="1"/>
  <c r="F66" i="1"/>
  <c r="G66" i="1" s="1"/>
  <c r="D67" i="1" l="1"/>
  <c r="E67" i="1"/>
  <c r="C68" i="1" l="1"/>
  <c r="F67" i="1"/>
  <c r="G67" i="1" s="1"/>
  <c r="D68" i="1" l="1"/>
  <c r="F68" i="1" s="1"/>
  <c r="G68" i="1" s="1"/>
  <c r="E68" i="1"/>
  <c r="C69" i="1" l="1"/>
  <c r="D69" i="1" l="1"/>
  <c r="E69" i="1"/>
  <c r="C70" i="1" l="1"/>
  <c r="F69" i="1"/>
  <c r="G69" i="1" s="1"/>
  <c r="D70" i="1" l="1"/>
  <c r="E70" i="1"/>
  <c r="C71" i="1" l="1"/>
  <c r="F70" i="1"/>
  <c r="G70" i="1" s="1"/>
  <c r="D71" i="1" l="1"/>
  <c r="E71" i="1"/>
  <c r="C72" i="1" l="1"/>
  <c r="F71" i="1"/>
  <c r="G71" i="1" s="1"/>
  <c r="D72" i="1" l="1"/>
  <c r="E72" i="1"/>
  <c r="C73" i="1" l="1"/>
  <c r="F72" i="1"/>
  <c r="G72" i="1" s="1"/>
  <c r="D73" i="1" l="1"/>
  <c r="E73" i="1"/>
  <c r="C74" i="1" l="1"/>
  <c r="F73" i="1"/>
  <c r="G73" i="1" s="1"/>
  <c r="D74" i="1" l="1"/>
  <c r="E74" i="1"/>
  <c r="C75" i="1" l="1"/>
  <c r="F74" i="1"/>
  <c r="G74" i="1" s="1"/>
  <c r="D75" i="1" l="1"/>
  <c r="E75" i="1"/>
  <c r="C76" i="1" l="1"/>
  <c r="F75" i="1"/>
  <c r="G75" i="1" s="1"/>
  <c r="D76" i="1" l="1"/>
  <c r="E76" i="1"/>
  <c r="C77" i="1" l="1"/>
  <c r="F76" i="1"/>
  <c r="G76" i="1" s="1"/>
  <c r="D77" i="1" l="1"/>
  <c r="E77" i="1"/>
  <c r="C78" i="1" l="1"/>
  <c r="F77" i="1"/>
  <c r="G77" i="1" s="1"/>
  <c r="D78" i="1" l="1"/>
  <c r="E78" i="1"/>
  <c r="C79" i="1" l="1"/>
  <c r="F78" i="1"/>
  <c r="G78" i="1" s="1"/>
  <c r="D79" i="1" l="1"/>
  <c r="E79" i="1"/>
  <c r="C80" i="1" l="1"/>
  <c r="F79" i="1"/>
  <c r="G79" i="1" s="1"/>
  <c r="D80" i="1" l="1"/>
  <c r="E80" i="1"/>
  <c r="C81" i="1" l="1"/>
  <c r="F80" i="1"/>
  <c r="G80" i="1" s="1"/>
  <c r="D81" i="1" l="1"/>
  <c r="E81" i="1"/>
  <c r="C82" i="1" l="1"/>
  <c r="F81" i="1"/>
  <c r="G81" i="1" s="1"/>
  <c r="D82" i="1" l="1"/>
  <c r="E82" i="1"/>
  <c r="C83" i="1" l="1"/>
  <c r="F82" i="1"/>
  <c r="G82" i="1" s="1"/>
  <c r="D83" i="1" l="1"/>
  <c r="E83" i="1"/>
  <c r="C84" i="1" l="1"/>
  <c r="F83" i="1"/>
  <c r="G83" i="1" s="1"/>
  <c r="D84" i="1" l="1"/>
  <c r="E84" i="1"/>
  <c r="C85" i="1" l="1"/>
  <c r="F84" i="1"/>
  <c r="G84" i="1" s="1"/>
  <c r="D85" i="1" l="1"/>
  <c r="E85" i="1"/>
  <c r="C86" i="1" l="1"/>
  <c r="F85" i="1"/>
  <c r="G85" i="1" s="1"/>
  <c r="D86" i="1" l="1"/>
  <c r="E86" i="1"/>
  <c r="C87" i="1" l="1"/>
  <c r="F86" i="1"/>
  <c r="G86" i="1" s="1"/>
  <c r="D87" i="1" l="1"/>
  <c r="F87" i="1" s="1"/>
  <c r="G87" i="1" s="1"/>
  <c r="E87" i="1"/>
  <c r="C88" i="1" l="1"/>
  <c r="D88" i="1" l="1"/>
  <c r="E88" i="1"/>
  <c r="C89" i="1" l="1"/>
  <c r="F88" i="1"/>
  <c r="G88" i="1" s="1"/>
  <c r="D89" i="1" l="1"/>
  <c r="E89" i="1"/>
  <c r="C90" i="1" l="1"/>
  <c r="F89" i="1"/>
  <c r="G89" i="1" s="1"/>
  <c r="D90" i="1" l="1"/>
  <c r="E90" i="1"/>
  <c r="C91" i="1" l="1"/>
  <c r="F90" i="1"/>
  <c r="G90" i="1" s="1"/>
  <c r="D91" i="1" l="1"/>
  <c r="E91" i="1"/>
  <c r="C92" i="1" l="1"/>
  <c r="F91" i="1"/>
  <c r="G91" i="1" s="1"/>
  <c r="D92" i="1" l="1"/>
  <c r="E92" i="1"/>
  <c r="C93" i="1" l="1"/>
  <c r="F92" i="1"/>
  <c r="G92" i="1" s="1"/>
  <c r="D93" i="1" l="1"/>
  <c r="E93" i="1"/>
  <c r="C94" i="1" l="1"/>
  <c r="F93" i="1"/>
  <c r="G93" i="1" s="1"/>
  <c r="D94" i="1" l="1"/>
  <c r="E94" i="1"/>
  <c r="C95" i="1" l="1"/>
  <c r="F94" i="1"/>
  <c r="G94" i="1" s="1"/>
  <c r="D95" i="1" l="1"/>
  <c r="E95" i="1"/>
  <c r="C96" i="1" l="1"/>
  <c r="F95" i="1"/>
  <c r="G95" i="1" s="1"/>
  <c r="D96" i="1" l="1"/>
  <c r="E96" i="1"/>
  <c r="C97" i="1" l="1"/>
  <c r="F96" i="1"/>
  <c r="G96" i="1" s="1"/>
  <c r="D97" i="1" l="1"/>
  <c r="E97" i="1"/>
  <c r="C98" i="1" l="1"/>
  <c r="F97" i="1"/>
  <c r="G97" i="1" s="1"/>
  <c r="D98" i="1" l="1"/>
  <c r="E98" i="1"/>
  <c r="C99" i="1" l="1"/>
  <c r="F98" i="1"/>
  <c r="G98" i="1" s="1"/>
  <c r="D99" i="1" l="1"/>
  <c r="E99" i="1"/>
  <c r="C100" i="1" l="1"/>
  <c r="F99" i="1"/>
  <c r="G99" i="1" s="1"/>
  <c r="D100" i="1" l="1"/>
  <c r="E100" i="1"/>
  <c r="C101" i="1" l="1"/>
  <c r="F100" i="1"/>
  <c r="G100" i="1" s="1"/>
  <c r="D101" i="1" l="1"/>
  <c r="E101" i="1"/>
  <c r="C102" i="1" l="1"/>
  <c r="F101" i="1"/>
  <c r="G101" i="1" s="1"/>
  <c r="D102" i="1" l="1"/>
  <c r="E102" i="1"/>
  <c r="C103" i="1" l="1"/>
  <c r="F102" i="1"/>
  <c r="G102" i="1" s="1"/>
  <c r="D103" i="1" l="1"/>
  <c r="E103" i="1"/>
  <c r="C104" i="1" l="1"/>
  <c r="F103" i="1"/>
  <c r="G103" i="1" s="1"/>
  <c r="D104" i="1" l="1"/>
  <c r="E104" i="1"/>
  <c r="C105" i="1" l="1"/>
  <c r="F104" i="1"/>
  <c r="G104" i="1" s="1"/>
  <c r="D105" i="1" l="1"/>
  <c r="E105" i="1"/>
  <c r="C106" i="1" l="1"/>
  <c r="F105" i="1"/>
  <c r="G105" i="1" s="1"/>
  <c r="D106" i="1" l="1"/>
  <c r="E106" i="1"/>
  <c r="C107" i="1" l="1"/>
  <c r="F106" i="1"/>
  <c r="G106" i="1" s="1"/>
  <c r="D107" i="1" l="1"/>
  <c r="E107" i="1"/>
  <c r="C108" i="1" l="1"/>
  <c r="F107" i="1"/>
  <c r="G107" i="1" s="1"/>
  <c r="D108" i="1" l="1"/>
  <c r="E108" i="1"/>
  <c r="C109" i="1" l="1"/>
  <c r="F108" i="1"/>
  <c r="G108" i="1" s="1"/>
  <c r="D109" i="1" l="1"/>
  <c r="E109" i="1"/>
  <c r="C110" i="1" l="1"/>
  <c r="F109" i="1"/>
  <c r="G109" i="1" s="1"/>
  <c r="D110" i="1" l="1"/>
  <c r="F110" i="1" s="1"/>
  <c r="G110" i="1" s="1"/>
  <c r="E110" i="1"/>
  <c r="C111" i="1" l="1"/>
  <c r="D111" i="1" l="1"/>
  <c r="E111" i="1"/>
  <c r="C112" i="1" l="1"/>
  <c r="F111" i="1"/>
  <c r="G111" i="1" s="1"/>
  <c r="D112" i="1" l="1"/>
  <c r="E112" i="1"/>
  <c r="C113" i="1" l="1"/>
  <c r="F112" i="1"/>
  <c r="G112" i="1" s="1"/>
  <c r="D113" i="1" l="1"/>
  <c r="E113" i="1"/>
  <c r="C114" i="1" l="1"/>
  <c r="F113" i="1"/>
  <c r="G113" i="1" s="1"/>
  <c r="D114" i="1" l="1"/>
  <c r="F114" i="1" s="1"/>
  <c r="G114" i="1" s="1"/>
  <c r="E114" i="1"/>
  <c r="C115" i="1" l="1"/>
  <c r="D115" i="1" l="1"/>
  <c r="E115" i="1"/>
  <c r="C116" i="1" l="1"/>
  <c r="F115" i="1"/>
  <c r="G115" i="1" s="1"/>
  <c r="D116" i="1" l="1"/>
  <c r="E116" i="1"/>
  <c r="C117" i="1" l="1"/>
  <c r="F116" i="1"/>
  <c r="G116" i="1" s="1"/>
  <c r="D117" i="1" l="1"/>
  <c r="E117" i="1"/>
  <c r="C118" i="1" l="1"/>
  <c r="F117" i="1"/>
  <c r="G117" i="1" s="1"/>
  <c r="D118" i="1" l="1"/>
  <c r="E118" i="1"/>
  <c r="C119" i="1" l="1"/>
  <c r="F118" i="1"/>
  <c r="G118" i="1" s="1"/>
  <c r="D119" i="1" l="1"/>
  <c r="E119" i="1"/>
  <c r="C120" i="1" l="1"/>
  <c r="F119" i="1"/>
  <c r="G119" i="1" s="1"/>
  <c r="D120" i="1" l="1"/>
  <c r="E120" i="1"/>
  <c r="C121" i="1" l="1"/>
  <c r="F120" i="1"/>
  <c r="G120" i="1" s="1"/>
  <c r="D121" i="1" l="1"/>
  <c r="F121" i="1" s="1"/>
  <c r="G121" i="1" s="1"/>
  <c r="G122" i="1" s="1"/>
  <c r="N2" i="1" s="1"/>
  <c r="E121" i="1"/>
</calcChain>
</file>

<file path=xl/sharedStrings.xml><?xml version="1.0" encoding="utf-8"?>
<sst xmlns="http://schemas.openxmlformats.org/spreadsheetml/2006/main" count="142" uniqueCount="142">
  <si>
    <t>time</t>
  </si>
  <si>
    <t>temperature_2m (Â°C)</t>
  </si>
  <si>
    <t>2026-01-13T00:00</t>
  </si>
  <si>
    <t>2026-01-13T01:00</t>
  </si>
  <si>
    <t>2026-01-13T02:00</t>
  </si>
  <si>
    <t>2026-01-13T03:00</t>
  </si>
  <si>
    <t>2026-01-13T04:00</t>
  </si>
  <si>
    <t>2026-01-13T05:00</t>
  </si>
  <si>
    <t>2026-01-13T06:00</t>
  </si>
  <si>
    <t>2026-01-13T07:00</t>
  </si>
  <si>
    <t>2026-01-13T08:00</t>
  </si>
  <si>
    <t>2026-01-13T09:00</t>
  </si>
  <si>
    <t>2026-01-13T10:00</t>
  </si>
  <si>
    <t>2026-01-13T11:00</t>
  </si>
  <si>
    <t>2026-01-13T12:00</t>
  </si>
  <si>
    <t>2026-01-13T13:00</t>
  </si>
  <si>
    <t>2026-01-13T14:00</t>
  </si>
  <si>
    <t>2026-01-13T15:00</t>
  </si>
  <si>
    <t>2026-01-13T16:00</t>
  </si>
  <si>
    <t>2026-01-13T17:00</t>
  </si>
  <si>
    <t>2026-01-13T18:00</t>
  </si>
  <si>
    <t>2026-01-13T19:00</t>
  </si>
  <si>
    <t>2026-01-13T20:00</t>
  </si>
  <si>
    <t>2026-01-13T21:00</t>
  </si>
  <si>
    <t>2026-01-13T22:00</t>
  </si>
  <si>
    <t>2026-01-13T23:00</t>
  </si>
  <si>
    <t>2026-01-14T00:00</t>
  </si>
  <si>
    <t>2026-01-14T01:00</t>
  </si>
  <si>
    <t>2026-01-14T02:00</t>
  </si>
  <si>
    <t>2026-01-14T03:00</t>
  </si>
  <si>
    <t>2026-01-14T04:00</t>
  </si>
  <si>
    <t>2026-01-14T05:00</t>
  </si>
  <si>
    <t>2026-01-14T06:00</t>
  </si>
  <si>
    <t>2026-01-14T07:00</t>
  </si>
  <si>
    <t>2026-01-14T08:00</t>
  </si>
  <si>
    <t>2026-01-14T09:00</t>
  </si>
  <si>
    <t>2026-01-14T10:00</t>
  </si>
  <si>
    <t>2026-01-14T11:00</t>
  </si>
  <si>
    <t>2026-01-14T12:00</t>
  </si>
  <si>
    <t>2026-01-14T13:00</t>
  </si>
  <si>
    <t>2026-01-14T14:00</t>
  </si>
  <si>
    <t>2026-01-14T15:00</t>
  </si>
  <si>
    <t>2026-01-14T16:00</t>
  </si>
  <si>
    <t>2026-01-14T17:00</t>
  </si>
  <si>
    <t>2026-01-14T18:00</t>
  </si>
  <si>
    <t>2026-01-14T19:00</t>
  </si>
  <si>
    <t>2026-01-14T20:00</t>
  </si>
  <si>
    <t>2026-01-14T21:00</t>
  </si>
  <si>
    <t>2026-01-14T22:00</t>
  </si>
  <si>
    <t>2026-01-14T23:00</t>
  </si>
  <si>
    <t>2026-01-15T00:00</t>
  </si>
  <si>
    <t>2026-01-15T01:00</t>
  </si>
  <si>
    <t>2026-01-15T02:00</t>
  </si>
  <si>
    <t>2026-01-15T03:00</t>
  </si>
  <si>
    <t>2026-01-15T04:00</t>
  </si>
  <si>
    <t>2026-01-15T05:00</t>
  </si>
  <si>
    <t>2026-01-15T06:00</t>
  </si>
  <si>
    <t>2026-01-15T07:00</t>
  </si>
  <si>
    <t>2026-01-15T08:00</t>
  </si>
  <si>
    <t>2026-01-15T09:00</t>
  </si>
  <si>
    <t>2026-01-15T10:00</t>
  </si>
  <si>
    <t>2026-01-15T11:00</t>
  </si>
  <si>
    <t>2026-01-15T12:00</t>
  </si>
  <si>
    <t>2026-01-15T13:00</t>
  </si>
  <si>
    <t>2026-01-15T14:00</t>
  </si>
  <si>
    <t>2026-01-15T15:00</t>
  </si>
  <si>
    <t>2026-01-15T16:00</t>
  </si>
  <si>
    <t>2026-01-15T17:00</t>
  </si>
  <si>
    <t>2026-01-15T18:00</t>
  </si>
  <si>
    <t>2026-01-15T19:00</t>
  </si>
  <si>
    <t>2026-01-15T20:00</t>
  </si>
  <si>
    <t>2026-01-15T21:00</t>
  </si>
  <si>
    <t>2026-01-15T22:00</t>
  </si>
  <si>
    <t>2026-01-15T23:00</t>
  </si>
  <si>
    <t>2026-01-16T00:00</t>
  </si>
  <si>
    <t>2026-01-16T01:00</t>
  </si>
  <si>
    <t>2026-01-16T02:00</t>
  </si>
  <si>
    <t>2026-01-16T03:00</t>
  </si>
  <si>
    <t>2026-01-16T04:00</t>
  </si>
  <si>
    <t>2026-01-16T05:00</t>
  </si>
  <si>
    <t>2026-01-16T06:00</t>
  </si>
  <si>
    <t>2026-01-16T07:00</t>
  </si>
  <si>
    <t>2026-01-16T08:00</t>
  </si>
  <si>
    <t>2026-01-16T09:00</t>
  </si>
  <si>
    <t>2026-01-16T10:00</t>
  </si>
  <si>
    <t>2026-01-16T11:00</t>
  </si>
  <si>
    <t>2026-01-16T12:00</t>
  </si>
  <si>
    <t>2026-01-16T13:00</t>
  </si>
  <si>
    <t>2026-01-16T14:00</t>
  </si>
  <si>
    <t>2026-01-16T15:00</t>
  </si>
  <si>
    <t>2026-01-16T16:00</t>
  </si>
  <si>
    <t>2026-01-16T17:00</t>
  </si>
  <si>
    <t>2026-01-16T18:00</t>
  </si>
  <si>
    <t>2026-01-16T19:00</t>
  </si>
  <si>
    <t>2026-01-16T20:00</t>
  </si>
  <si>
    <t>2026-01-16T21:00</t>
  </si>
  <si>
    <t>2026-01-16T22:00</t>
  </si>
  <si>
    <t>2026-01-16T23:00</t>
  </si>
  <si>
    <t>2026-01-17T00:00</t>
  </si>
  <si>
    <t>2026-01-17T01:00</t>
  </si>
  <si>
    <t>2026-01-17T02:00</t>
  </si>
  <si>
    <t>2026-01-17T03:00</t>
  </si>
  <si>
    <t>2026-01-17T04:00</t>
  </si>
  <si>
    <t>2026-01-17T05:00</t>
  </si>
  <si>
    <t>2026-01-17T06:00</t>
  </si>
  <si>
    <t>2026-01-17T07:00</t>
  </si>
  <si>
    <t>2026-01-17T08:00</t>
  </si>
  <si>
    <t>2026-01-17T09:00</t>
  </si>
  <si>
    <t>2026-01-17T10:00</t>
  </si>
  <si>
    <t>2026-01-17T11:00</t>
  </si>
  <si>
    <t>2026-01-17T12:00</t>
  </si>
  <si>
    <t>2026-01-17T13:00</t>
  </si>
  <si>
    <t>2026-01-17T14:00</t>
  </si>
  <si>
    <t>2026-01-17T15:00</t>
  </si>
  <si>
    <t>2026-01-17T16:00</t>
  </si>
  <si>
    <t>2026-01-17T17:00</t>
  </si>
  <si>
    <t>2026-01-17T18:00</t>
  </si>
  <si>
    <t>2026-01-17T19:00</t>
  </si>
  <si>
    <t>2026-01-17T20:00</t>
  </si>
  <si>
    <t>2026-01-17T21:00</t>
  </si>
  <si>
    <t>2026-01-17T22:00</t>
  </si>
  <si>
    <t>2026-01-17T23:00</t>
  </si>
  <si>
    <t>T-int</t>
  </si>
  <si>
    <t>Flux-pertes</t>
  </si>
  <si>
    <t>Δt</t>
  </si>
  <si>
    <t xml:space="preserve">R (résistance thermique globale du bâtiment)	</t>
  </si>
  <si>
    <t>Paramètre</t>
  </si>
  <si>
    <t>Valeur</t>
  </si>
  <si>
    <t>Unité</t>
  </si>
  <si>
    <t>C (capacité thermique du bâtiment)</t>
  </si>
  <si>
    <t>J/K</t>
  </si>
  <si>
    <t>secondes</t>
  </si>
  <si>
    <t>K/W</t>
  </si>
  <si>
    <t>P_max chauffage (50kW)</t>
  </si>
  <si>
    <t>Kp(régulation proportionnelle)</t>
  </si>
  <si>
    <t>Watt</t>
  </si>
  <si>
    <t>W/K</t>
  </si>
  <si>
    <t>P_chauff</t>
  </si>
  <si>
    <t>P_totale (W)</t>
  </si>
  <si>
    <t>Energie(KWh)</t>
  </si>
  <si>
    <t>le gain (%)</t>
  </si>
  <si>
    <t>Énergie cumulée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</si>
</sst>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Évolution des températures intérieure et extérieure </a:t>
            </a:r>
          </a:p>
        </c:rich>
      </c:tx>
      <c:layout>
        <c:manualLayout>
          <c:xMode val="edge"/>
          <c:yMode val="edge"/>
          <c:x val="0.12157505020441162"/>
          <c:y val="1.39579970530674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7635519886772624E-2"/>
          <c:y val="0.15398793881737641"/>
          <c:w val="0.9084816898770075"/>
          <c:h val="0.58371415917652592"/>
        </c:manualLayout>
      </c:layout>
      <c:lineChart>
        <c:grouping val="standard"/>
        <c:varyColors val="0"/>
        <c:ser>
          <c:idx val="0"/>
          <c:order val="0"/>
          <c:tx>
            <c:strRef>
              <c:f>'open-meteo-48.85N2.35E43m'!$B$1</c:f>
              <c:strCache>
                <c:ptCount val="1"/>
                <c:pt idx="0">
                  <c:v>temperature_2m (Â°C)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'open-meteo-48.85N2.35E43m'!$B$2:$B$122</c:f>
              <c:numCache>
                <c:formatCode>General</c:formatCode>
                <c:ptCount val="121"/>
                <c:pt idx="0">
                  <c:v>10.5</c:v>
                </c:pt>
                <c:pt idx="1">
                  <c:v>9.6999999999999993</c:v>
                </c:pt>
                <c:pt idx="2">
                  <c:v>9.5</c:v>
                </c:pt>
                <c:pt idx="3">
                  <c:v>9.4</c:v>
                </c:pt>
                <c:pt idx="4">
                  <c:v>9.1</c:v>
                </c:pt>
                <c:pt idx="5">
                  <c:v>8.9</c:v>
                </c:pt>
                <c:pt idx="6">
                  <c:v>8.4</c:v>
                </c:pt>
                <c:pt idx="7">
                  <c:v>8.3000000000000007</c:v>
                </c:pt>
                <c:pt idx="8">
                  <c:v>7.6</c:v>
                </c:pt>
                <c:pt idx="9">
                  <c:v>7.7</c:v>
                </c:pt>
                <c:pt idx="10">
                  <c:v>8</c:v>
                </c:pt>
                <c:pt idx="11">
                  <c:v>9</c:v>
                </c:pt>
                <c:pt idx="12">
                  <c:v>9.9</c:v>
                </c:pt>
                <c:pt idx="13">
                  <c:v>10.5</c:v>
                </c:pt>
                <c:pt idx="14">
                  <c:v>10.5</c:v>
                </c:pt>
                <c:pt idx="15">
                  <c:v>12</c:v>
                </c:pt>
                <c:pt idx="16">
                  <c:v>11.8</c:v>
                </c:pt>
                <c:pt idx="17">
                  <c:v>11.4</c:v>
                </c:pt>
                <c:pt idx="18">
                  <c:v>11.2</c:v>
                </c:pt>
                <c:pt idx="19">
                  <c:v>10.7</c:v>
                </c:pt>
                <c:pt idx="20">
                  <c:v>10.8</c:v>
                </c:pt>
                <c:pt idx="21">
                  <c:v>11.2</c:v>
                </c:pt>
                <c:pt idx="22">
                  <c:v>11.1</c:v>
                </c:pt>
                <c:pt idx="23">
                  <c:v>9.8000000000000007</c:v>
                </c:pt>
                <c:pt idx="24">
                  <c:v>9.1999999999999993</c:v>
                </c:pt>
                <c:pt idx="25">
                  <c:v>8.8000000000000007</c:v>
                </c:pt>
                <c:pt idx="26">
                  <c:v>8.6</c:v>
                </c:pt>
                <c:pt idx="27">
                  <c:v>8.6999999999999993</c:v>
                </c:pt>
                <c:pt idx="28">
                  <c:v>8.8000000000000007</c:v>
                </c:pt>
                <c:pt idx="29">
                  <c:v>8.8000000000000007</c:v>
                </c:pt>
                <c:pt idx="30">
                  <c:v>8.6999999999999993</c:v>
                </c:pt>
                <c:pt idx="31">
                  <c:v>9</c:v>
                </c:pt>
                <c:pt idx="32">
                  <c:v>9.1</c:v>
                </c:pt>
                <c:pt idx="33">
                  <c:v>9.4</c:v>
                </c:pt>
                <c:pt idx="34">
                  <c:v>9.6</c:v>
                </c:pt>
                <c:pt idx="35">
                  <c:v>10</c:v>
                </c:pt>
                <c:pt idx="36">
                  <c:v>10.3</c:v>
                </c:pt>
                <c:pt idx="37">
                  <c:v>10.199999999999999</c:v>
                </c:pt>
                <c:pt idx="38">
                  <c:v>10.5</c:v>
                </c:pt>
                <c:pt idx="39">
                  <c:v>12.6</c:v>
                </c:pt>
                <c:pt idx="40">
                  <c:v>11.9</c:v>
                </c:pt>
                <c:pt idx="41">
                  <c:v>11.6</c:v>
                </c:pt>
                <c:pt idx="42">
                  <c:v>11.8</c:v>
                </c:pt>
                <c:pt idx="43">
                  <c:v>11.2</c:v>
                </c:pt>
                <c:pt idx="44">
                  <c:v>10.9</c:v>
                </c:pt>
                <c:pt idx="45">
                  <c:v>10.9</c:v>
                </c:pt>
                <c:pt idx="46">
                  <c:v>10.4</c:v>
                </c:pt>
                <c:pt idx="47">
                  <c:v>10.9</c:v>
                </c:pt>
                <c:pt idx="48">
                  <c:v>10.7</c:v>
                </c:pt>
                <c:pt idx="49">
                  <c:v>11.1</c:v>
                </c:pt>
                <c:pt idx="50">
                  <c:v>10.7</c:v>
                </c:pt>
                <c:pt idx="51">
                  <c:v>10.6</c:v>
                </c:pt>
                <c:pt idx="52">
                  <c:v>10.3</c:v>
                </c:pt>
                <c:pt idx="53">
                  <c:v>9.5</c:v>
                </c:pt>
                <c:pt idx="54">
                  <c:v>9.1</c:v>
                </c:pt>
                <c:pt idx="55">
                  <c:v>8.8000000000000007</c:v>
                </c:pt>
                <c:pt idx="56">
                  <c:v>9</c:v>
                </c:pt>
                <c:pt idx="57">
                  <c:v>9.1</c:v>
                </c:pt>
                <c:pt idx="58">
                  <c:v>9.9</c:v>
                </c:pt>
                <c:pt idx="59">
                  <c:v>10.1</c:v>
                </c:pt>
                <c:pt idx="60">
                  <c:v>10.7</c:v>
                </c:pt>
                <c:pt idx="61">
                  <c:v>11.2</c:v>
                </c:pt>
                <c:pt idx="62">
                  <c:v>11.7</c:v>
                </c:pt>
                <c:pt idx="63">
                  <c:v>12.9</c:v>
                </c:pt>
                <c:pt idx="64">
                  <c:v>12.7</c:v>
                </c:pt>
                <c:pt idx="65">
                  <c:v>12.4</c:v>
                </c:pt>
                <c:pt idx="66">
                  <c:v>12.4</c:v>
                </c:pt>
                <c:pt idx="67">
                  <c:v>12.3</c:v>
                </c:pt>
                <c:pt idx="68">
                  <c:v>12</c:v>
                </c:pt>
                <c:pt idx="69">
                  <c:v>11.5</c:v>
                </c:pt>
                <c:pt idx="70">
                  <c:v>11.2</c:v>
                </c:pt>
                <c:pt idx="71">
                  <c:v>11.2</c:v>
                </c:pt>
                <c:pt idx="72">
                  <c:v>10.6</c:v>
                </c:pt>
                <c:pt idx="73">
                  <c:v>10.7</c:v>
                </c:pt>
                <c:pt idx="74">
                  <c:v>10.4</c:v>
                </c:pt>
                <c:pt idx="75">
                  <c:v>10.3</c:v>
                </c:pt>
                <c:pt idx="76">
                  <c:v>10.1</c:v>
                </c:pt>
                <c:pt idx="77">
                  <c:v>9.3000000000000007</c:v>
                </c:pt>
                <c:pt idx="78">
                  <c:v>8.6</c:v>
                </c:pt>
                <c:pt idx="79">
                  <c:v>8.9</c:v>
                </c:pt>
                <c:pt idx="80">
                  <c:v>8.9</c:v>
                </c:pt>
                <c:pt idx="81">
                  <c:v>9.1</c:v>
                </c:pt>
                <c:pt idx="82">
                  <c:v>9.4</c:v>
                </c:pt>
                <c:pt idx="83">
                  <c:v>9.5</c:v>
                </c:pt>
                <c:pt idx="84">
                  <c:v>10.3</c:v>
                </c:pt>
                <c:pt idx="85">
                  <c:v>10.4</c:v>
                </c:pt>
                <c:pt idx="86">
                  <c:v>10.4</c:v>
                </c:pt>
                <c:pt idx="87">
                  <c:v>10.8</c:v>
                </c:pt>
                <c:pt idx="88">
                  <c:v>10.6</c:v>
                </c:pt>
                <c:pt idx="89">
                  <c:v>10.6</c:v>
                </c:pt>
                <c:pt idx="90">
                  <c:v>10.3</c:v>
                </c:pt>
                <c:pt idx="91">
                  <c:v>9.8000000000000007</c:v>
                </c:pt>
                <c:pt idx="92">
                  <c:v>9.6</c:v>
                </c:pt>
                <c:pt idx="93">
                  <c:v>9.5</c:v>
                </c:pt>
                <c:pt idx="94">
                  <c:v>9.5</c:v>
                </c:pt>
                <c:pt idx="95">
                  <c:v>9.1999999999999993</c:v>
                </c:pt>
                <c:pt idx="96">
                  <c:v>9.1</c:v>
                </c:pt>
                <c:pt idx="97">
                  <c:v>9.1</c:v>
                </c:pt>
                <c:pt idx="98">
                  <c:v>8.8000000000000007</c:v>
                </c:pt>
                <c:pt idx="99">
                  <c:v>8.4</c:v>
                </c:pt>
                <c:pt idx="100">
                  <c:v>8.1999999999999993</c:v>
                </c:pt>
                <c:pt idx="101">
                  <c:v>7.7</c:v>
                </c:pt>
                <c:pt idx="102">
                  <c:v>7.8</c:v>
                </c:pt>
                <c:pt idx="103">
                  <c:v>7.9</c:v>
                </c:pt>
                <c:pt idx="104">
                  <c:v>7.7</c:v>
                </c:pt>
                <c:pt idx="105">
                  <c:v>8.1999999999999993</c:v>
                </c:pt>
                <c:pt idx="106">
                  <c:v>8.5</c:v>
                </c:pt>
                <c:pt idx="107">
                  <c:v>9.3000000000000007</c:v>
                </c:pt>
                <c:pt idx="108">
                  <c:v>10</c:v>
                </c:pt>
                <c:pt idx="109">
                  <c:v>10.8</c:v>
                </c:pt>
                <c:pt idx="110">
                  <c:v>11.2</c:v>
                </c:pt>
                <c:pt idx="111">
                  <c:v>11.4</c:v>
                </c:pt>
                <c:pt idx="112">
                  <c:v>11.5</c:v>
                </c:pt>
                <c:pt idx="113">
                  <c:v>11.4</c:v>
                </c:pt>
                <c:pt idx="114">
                  <c:v>11.1</c:v>
                </c:pt>
                <c:pt idx="115">
                  <c:v>10.3</c:v>
                </c:pt>
                <c:pt idx="116">
                  <c:v>9.6999999999999993</c:v>
                </c:pt>
                <c:pt idx="117">
                  <c:v>9.5</c:v>
                </c:pt>
                <c:pt idx="118">
                  <c:v>9.6999999999999993</c:v>
                </c:pt>
                <c:pt idx="119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D-4597-A250-7BC3E96D9826}"/>
            </c:ext>
          </c:extLst>
        </c:ser>
        <c:ser>
          <c:idx val="1"/>
          <c:order val="1"/>
          <c:tx>
            <c:strRef>
              <c:f>'open-meteo-48.85N2.35E43m'!$C$1</c:f>
              <c:strCache>
                <c:ptCount val="1"/>
                <c:pt idx="0">
                  <c:v>T-int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'open-meteo-48.85N2.35E43m'!$C$2:$C$122</c:f>
              <c:numCache>
                <c:formatCode>0.00E+00</c:formatCode>
                <c:ptCount val="121"/>
                <c:pt idx="0" formatCode="General">
                  <c:v>20</c:v>
                </c:pt>
                <c:pt idx="1">
                  <c:v>19.863199999999999</c:v>
                </c:pt>
                <c:pt idx="2">
                  <c:v>19.741473920000001</c:v>
                </c:pt>
                <c:pt idx="3">
                  <c:v>19.640531389951999</c:v>
                </c:pt>
                <c:pt idx="4">
                  <c:v>19.557772087745331</c:v>
                </c:pt>
                <c:pt idx="5">
                  <c:v>19.486781193887637</c:v>
                </c:pt>
                <c:pt idx="6">
                  <c:v>19.426710929795881</c:v>
                </c:pt>
                <c:pt idx="7">
                  <c:v>19.371118325043561</c:v>
                </c:pt>
                <c:pt idx="8">
                  <c:v>19.324892922655092</c:v>
                </c:pt>
                <c:pt idx="9">
                  <c:v>19.277573738490943</c:v>
                </c:pt>
                <c:pt idx="10">
                  <c:v>19.240893403728304</c:v>
                </c:pt>
                <c:pt idx="11">
                  <c:v>19.215663726043523</c:v>
                </c:pt>
                <c:pt idx="12">
                  <c:v>19.209738697700661</c:v>
                </c:pt>
                <c:pt idx="13">
                  <c:v>19.217925494867654</c:v>
                </c:pt>
                <c:pt idx="14">
                  <c:v>19.233160778665383</c:v>
                </c:pt>
                <c:pt idx="15">
                  <c:v>19.245434323292834</c:v>
                </c:pt>
                <c:pt idx="16">
                  <c:v>19.276921890844708</c:v>
                </c:pt>
                <c:pt idx="17">
                  <c:v>19.299408275264497</c:v>
                </c:pt>
                <c:pt idx="18">
                  <c:v>19.311763306553079</c:v>
                </c:pt>
                <c:pt idx="19">
                  <c:v>19.318836519759159</c:v>
                </c:pt>
                <c:pt idx="20">
                  <c:v>19.317334700317979</c:v>
                </c:pt>
                <c:pt idx="21">
                  <c:v>19.317564834576164</c:v>
                </c:pt>
                <c:pt idx="22">
                  <c:v>19.323510230734559</c:v>
                </c:pt>
                <c:pt idx="23">
                  <c:v>19.326859841879759</c:v>
                </c:pt>
                <c:pt idx="24">
                  <c:v>19.310838288618335</c:v>
                </c:pt>
                <c:pt idx="25">
                  <c:v>19.289291325310931</c:v>
                </c:pt>
                <c:pt idx="26">
                  <c:v>19.266173091670485</c:v>
                </c:pt>
                <c:pt idx="27">
                  <c:v>19.244669042649743</c:v>
                </c:pt>
                <c:pt idx="28">
                  <c:v>19.228785380758634</c:v>
                </c:pt>
                <c:pt idx="29">
                  <c:v>19.217429502739154</c:v>
                </c:pt>
                <c:pt idx="30">
                  <c:v>19.208281207406664</c:v>
                </c:pt>
                <c:pt idx="31">
                  <c:v>19.199471340686809</c:v>
                </c:pt>
                <c:pt idx="32">
                  <c:v>19.196694112057294</c:v>
                </c:pt>
                <c:pt idx="33">
                  <c:v>19.195896776673354</c:v>
                </c:pt>
                <c:pt idx="34">
                  <c:v>19.199574443288054</c:v>
                </c:pt>
                <c:pt idx="35">
                  <c:v>19.205417171512856</c:v>
                </c:pt>
                <c:pt idx="36">
                  <c:v>19.215884073370756</c:v>
                </c:pt>
                <c:pt idx="37">
                  <c:v>19.228636209507481</c:v>
                </c:pt>
                <c:pt idx="38">
                  <c:v>19.237469330379227</c:v>
                </c:pt>
                <c:pt idx="39">
                  <c:v>19.248905292553506</c:v>
                </c:pt>
                <c:pt idx="40">
                  <c:v>19.288358103681105</c:v>
                </c:pt>
                <c:pt idx="41">
                  <c:v>19.3100612883255</c:v>
                </c:pt>
                <c:pt idx="42">
                  <c:v>19.323225373875022</c:v>
                </c:pt>
                <c:pt idx="43">
                  <c:v>19.336710361193717</c:v>
                </c:pt>
                <c:pt idx="44">
                  <c:v>19.338933866977658</c:v>
                </c:pt>
                <c:pt idx="45">
                  <c:v>19.336405123237203</c:v>
                </c:pt>
                <c:pt idx="46">
                  <c:v>19.334367967279892</c:v>
                </c:pt>
                <c:pt idx="47">
                  <c:v>19.32552683444068</c:v>
                </c:pt>
                <c:pt idx="48">
                  <c:v>19.325604417825414</c:v>
                </c:pt>
                <c:pt idx="49">
                  <c:v>19.322786919000155</c:v>
                </c:pt>
                <c:pt idx="50">
                  <c:v>19.326277141946523</c:v>
                </c:pt>
                <c:pt idx="51">
                  <c:v>19.323328865552121</c:v>
                </c:pt>
                <c:pt idx="52">
                  <c:v>19.319513734088787</c:v>
                </c:pt>
                <c:pt idx="53">
                  <c:v>19.312120264181928</c:v>
                </c:pt>
                <c:pt idx="54">
                  <c:v>19.294644084824963</c:v>
                </c:pt>
                <c:pt idx="55">
                  <c:v>19.274805274734991</c:v>
                </c:pt>
                <c:pt idx="56">
                  <c:v>19.254503129326508</c:v>
                </c:pt>
                <c:pt idx="57">
                  <c:v>19.241027720985436</c:v>
                </c:pt>
                <c:pt idx="58">
                  <c:v>19.231611932025867</c:v>
                </c:pt>
                <c:pt idx="59">
                  <c:v>19.23554657244004</c:v>
                </c:pt>
                <c:pt idx="60">
                  <c:v>19.241596318757697</c:v>
                </c:pt>
                <c:pt idx="61">
                  <c:v>19.255109994391201</c:v>
                </c:pt>
                <c:pt idx="62">
                  <c:v>19.273196611481552</c:v>
                </c:pt>
                <c:pt idx="63">
                  <c:v>19.294967190209537</c:v>
                </c:pt>
                <c:pt idx="64">
                  <c:v>19.329785568432804</c:v>
                </c:pt>
                <c:pt idx="65">
                  <c:v>19.354955253929468</c:v>
                </c:pt>
                <c:pt idx="66">
                  <c:v>19.370911952565578</c:v>
                </c:pt>
                <c:pt idx="67">
                  <c:v>19.38376666898683</c:v>
                </c:pt>
                <c:pt idx="68">
                  <c:v>19.392682428535789</c:v>
                </c:pt>
                <c:pt idx="69">
                  <c:v>19.395544964428431</c:v>
                </c:pt>
                <c:pt idx="70">
                  <c:v>19.390651023343544</c:v>
                </c:pt>
                <c:pt idx="71">
                  <c:v>19.382388464405558</c:v>
                </c:pt>
                <c:pt idx="72">
                  <c:v>19.375732146925117</c:v>
                </c:pt>
                <c:pt idx="73">
                  <c:v>19.361729817562875</c:v>
                </c:pt>
                <c:pt idx="74">
                  <c:v>19.351889541028651</c:v>
                </c:pt>
                <c:pt idx="75">
                  <c:v>19.339642214252681</c:v>
                </c:pt>
                <c:pt idx="76">
                  <c:v>19.32833576780196</c:v>
                </c:pt>
                <c:pt idx="77">
                  <c:v>19.316347294541259</c:v>
                </c:pt>
                <c:pt idx="78">
                  <c:v>19.295169380482438</c:v>
                </c:pt>
                <c:pt idx="79">
                  <c:v>19.268028452916653</c:v>
                </c:pt>
                <c:pt idx="80">
                  <c:v>19.250483721669656</c:v>
                </c:pt>
                <c:pt idx="81">
                  <c:v>19.236349686177075</c:v>
                </c:pt>
                <c:pt idx="82">
                  <c:v>19.227843307184251</c:v>
                </c:pt>
                <c:pt idx="83">
                  <c:v>19.225310568267634</c:v>
                </c:pt>
                <c:pt idx="84">
                  <c:v>19.224710193796405</c:v>
                </c:pt>
                <c:pt idx="85">
                  <c:v>19.235746532122384</c:v>
                </c:pt>
                <c:pt idx="86">
                  <c:v>19.246077406277792</c:v>
                </c:pt>
                <c:pt idx="87">
                  <c:v>19.254399958497388</c:v>
                </c:pt>
                <c:pt idx="88">
                  <c:v>19.266864606565495</c:v>
                </c:pt>
                <c:pt idx="89">
                  <c:v>19.274026127049162</c:v>
                </c:pt>
                <c:pt idx="90">
                  <c:v>19.279795447950804</c:v>
                </c:pt>
                <c:pt idx="91">
                  <c:v>19.280123212869167</c:v>
                </c:pt>
                <c:pt idx="92">
                  <c:v>19.273187260287401</c:v>
                </c:pt>
                <c:pt idx="93">
                  <c:v>19.264719656887529</c:v>
                </c:pt>
                <c:pt idx="94">
                  <c:v>19.256458155588593</c:v>
                </c:pt>
                <c:pt idx="95">
                  <c:v>19.249802690142172</c:v>
                </c:pt>
                <c:pt idx="96">
                  <c:v>19.240121047178533</c:v>
                </c:pt>
                <c:pt idx="97">
                  <c:v>19.230881515607027</c:v>
                </c:pt>
                <c:pt idx="98">
                  <c:v>19.22343814897302</c:v>
                </c:pt>
                <c:pt idx="99">
                  <c:v>19.213121772812666</c:v>
                </c:pt>
                <c:pt idx="100">
                  <c:v>19.199050900177884</c:v>
                </c:pt>
                <c:pt idx="101">
                  <c:v>19.184835405183303</c:v>
                </c:pt>
                <c:pt idx="102">
                  <c:v>19.166183402415669</c:v>
                </c:pt>
                <c:pt idx="103">
                  <c:v>19.152597348986063</c:v>
                </c:pt>
                <c:pt idx="104">
                  <c:v>19.143092424343173</c:v>
                </c:pt>
                <c:pt idx="105">
                  <c:v>19.132555257050861</c:v>
                </c:pt>
                <c:pt idx="106">
                  <c:v>19.131266515080174</c:v>
                </c:pt>
                <c:pt idx="107">
                  <c:v>19.134548304548588</c:v>
                </c:pt>
                <c:pt idx="108">
                  <c:v>19.148712114144342</c:v>
                </c:pt>
                <c:pt idx="109">
                  <c:v>19.170202479154682</c:v>
                </c:pt>
                <c:pt idx="110">
                  <c:v>19.199035117207011</c:v>
                </c:pt>
                <c:pt idx="111">
                  <c:v>19.228022690421966</c:v>
                </c:pt>
                <c:pt idx="112">
                  <c:v>19.254255079403936</c:v>
                </c:pt>
                <c:pt idx="113">
                  <c:v>19.276827891967812</c:v>
                </c:pt>
                <c:pt idx="114">
                  <c:v>19.293572549769269</c:v>
                </c:pt>
                <c:pt idx="115">
                  <c:v>19.302742046094124</c:v>
                </c:pt>
                <c:pt idx="116">
                  <c:v>19.298608992333428</c:v>
                </c:pt>
                <c:pt idx="117">
                  <c:v>19.286639404223809</c:v>
                </c:pt>
                <c:pt idx="118">
                  <c:v>19.274116704042701</c:v>
                </c:pt>
                <c:pt idx="119">
                  <c:v>19.266908416776801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3D-4597-A250-7BC3E96D9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3648688"/>
        <c:axId val="543649168"/>
      </c:lineChart>
      <c:catAx>
        <c:axId val="543648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3649168"/>
        <c:crosses val="autoZero"/>
        <c:auto val="1"/>
        <c:lblAlgn val="ctr"/>
        <c:lblOffset val="100"/>
        <c:noMultiLvlLbl val="0"/>
      </c:catAx>
      <c:valAx>
        <c:axId val="54364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364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>
                <a:solidFill>
                  <a:schemeClr val="tx2"/>
                </a:solidFill>
              </a:rPr>
              <a:t>Puissance de chauffage en régime de confort permanent</a:t>
            </a:r>
            <a:endParaRPr lang="en-US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7303827627116836E-2"/>
          <c:y val="0.20839319245760526"/>
          <c:w val="0.88730894253014747"/>
          <c:h val="0.64754076950536776"/>
        </c:manualLayout>
      </c:layout>
      <c:scatterChart>
        <c:scatterStyle val="lineMarker"/>
        <c:varyColors val="0"/>
        <c:ser>
          <c:idx val="0"/>
          <c:order val="0"/>
          <c:tx>
            <c:strRef>
              <c:f>'open-meteo-48.85N2.35E43m'!$D$1</c:f>
              <c:strCache>
                <c:ptCount val="1"/>
                <c:pt idx="0">
                  <c:v>P_chauff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'open-meteo-48.85N2.35E43m'!$A$2:$A$122</c:f>
              <c:strCache>
                <c:ptCount val="120"/>
                <c:pt idx="0">
                  <c:v>2026-01-13T00:00</c:v>
                </c:pt>
                <c:pt idx="1">
                  <c:v>2026-01-13T01:00</c:v>
                </c:pt>
                <c:pt idx="2">
                  <c:v>2026-01-13T02:00</c:v>
                </c:pt>
                <c:pt idx="3">
                  <c:v>2026-01-13T03:00</c:v>
                </c:pt>
                <c:pt idx="4">
                  <c:v>2026-01-13T04:00</c:v>
                </c:pt>
                <c:pt idx="5">
                  <c:v>2026-01-13T05:00</c:v>
                </c:pt>
                <c:pt idx="6">
                  <c:v>2026-01-13T06:00</c:v>
                </c:pt>
                <c:pt idx="7">
                  <c:v>2026-01-13T07:00</c:v>
                </c:pt>
                <c:pt idx="8">
                  <c:v>2026-01-13T08:00</c:v>
                </c:pt>
                <c:pt idx="9">
                  <c:v>2026-01-13T09:00</c:v>
                </c:pt>
                <c:pt idx="10">
                  <c:v>2026-01-13T10:00</c:v>
                </c:pt>
                <c:pt idx="11">
                  <c:v>2026-01-13T11:00</c:v>
                </c:pt>
                <c:pt idx="12">
                  <c:v>2026-01-13T12:00</c:v>
                </c:pt>
                <c:pt idx="13">
                  <c:v>2026-01-13T13:00</c:v>
                </c:pt>
                <c:pt idx="14">
                  <c:v>2026-01-13T14:00</c:v>
                </c:pt>
                <c:pt idx="15">
                  <c:v>2026-01-13T15:00</c:v>
                </c:pt>
                <c:pt idx="16">
                  <c:v>2026-01-13T16:00</c:v>
                </c:pt>
                <c:pt idx="17">
                  <c:v>2026-01-13T17:00</c:v>
                </c:pt>
                <c:pt idx="18">
                  <c:v>2026-01-13T18:00</c:v>
                </c:pt>
                <c:pt idx="19">
                  <c:v>2026-01-13T19:00</c:v>
                </c:pt>
                <c:pt idx="20">
                  <c:v>2026-01-13T20:00</c:v>
                </c:pt>
                <c:pt idx="21">
                  <c:v>2026-01-13T21:00</c:v>
                </c:pt>
                <c:pt idx="22">
                  <c:v>2026-01-13T22:00</c:v>
                </c:pt>
                <c:pt idx="23">
                  <c:v>2026-01-13T23:00</c:v>
                </c:pt>
                <c:pt idx="24">
                  <c:v>2026-01-14T00:00</c:v>
                </c:pt>
                <c:pt idx="25">
                  <c:v>2026-01-14T01:00</c:v>
                </c:pt>
                <c:pt idx="26">
                  <c:v>2026-01-14T02:00</c:v>
                </c:pt>
                <c:pt idx="27">
                  <c:v>2026-01-14T03:00</c:v>
                </c:pt>
                <c:pt idx="28">
                  <c:v>2026-01-14T04:00</c:v>
                </c:pt>
                <c:pt idx="29">
                  <c:v>2026-01-14T05:00</c:v>
                </c:pt>
                <c:pt idx="30">
                  <c:v>2026-01-14T06:00</c:v>
                </c:pt>
                <c:pt idx="31">
                  <c:v>2026-01-14T07:00</c:v>
                </c:pt>
                <c:pt idx="32">
                  <c:v>2026-01-14T08:00</c:v>
                </c:pt>
                <c:pt idx="33">
                  <c:v>2026-01-14T09:00</c:v>
                </c:pt>
                <c:pt idx="34">
                  <c:v>2026-01-14T10:00</c:v>
                </c:pt>
                <c:pt idx="35">
                  <c:v>2026-01-14T11:00</c:v>
                </c:pt>
                <c:pt idx="36">
                  <c:v>2026-01-14T12:00</c:v>
                </c:pt>
                <c:pt idx="37">
                  <c:v>2026-01-14T13:00</c:v>
                </c:pt>
                <c:pt idx="38">
                  <c:v>2026-01-14T14:00</c:v>
                </c:pt>
                <c:pt idx="39">
                  <c:v>2026-01-14T15:00</c:v>
                </c:pt>
                <c:pt idx="40">
                  <c:v>2026-01-14T16:00</c:v>
                </c:pt>
                <c:pt idx="41">
                  <c:v>2026-01-14T17:00</c:v>
                </c:pt>
                <c:pt idx="42">
                  <c:v>2026-01-14T18:00</c:v>
                </c:pt>
                <c:pt idx="43">
                  <c:v>2026-01-14T19:00</c:v>
                </c:pt>
                <c:pt idx="44">
                  <c:v>2026-01-14T20:00</c:v>
                </c:pt>
                <c:pt idx="45">
                  <c:v>2026-01-14T21:00</c:v>
                </c:pt>
                <c:pt idx="46">
                  <c:v>2026-01-14T22:00</c:v>
                </c:pt>
                <c:pt idx="47">
                  <c:v>2026-01-14T23:00</c:v>
                </c:pt>
                <c:pt idx="48">
                  <c:v>2026-01-15T00:00</c:v>
                </c:pt>
                <c:pt idx="49">
                  <c:v>2026-01-15T01:00</c:v>
                </c:pt>
                <c:pt idx="50">
                  <c:v>2026-01-15T02:00</c:v>
                </c:pt>
                <c:pt idx="51">
                  <c:v>2026-01-15T03:00</c:v>
                </c:pt>
                <c:pt idx="52">
                  <c:v>2026-01-15T04:00</c:v>
                </c:pt>
                <c:pt idx="53">
                  <c:v>2026-01-15T05:00</c:v>
                </c:pt>
                <c:pt idx="54">
                  <c:v>2026-01-15T06:00</c:v>
                </c:pt>
                <c:pt idx="55">
                  <c:v>2026-01-15T07:00</c:v>
                </c:pt>
                <c:pt idx="56">
                  <c:v>2026-01-15T08:00</c:v>
                </c:pt>
                <c:pt idx="57">
                  <c:v>2026-01-15T09:00</c:v>
                </c:pt>
                <c:pt idx="58">
                  <c:v>2026-01-15T10:00</c:v>
                </c:pt>
                <c:pt idx="59">
                  <c:v>2026-01-15T11:00</c:v>
                </c:pt>
                <c:pt idx="60">
                  <c:v>2026-01-15T12:00</c:v>
                </c:pt>
                <c:pt idx="61">
                  <c:v>2026-01-15T13:00</c:v>
                </c:pt>
                <c:pt idx="62">
                  <c:v>2026-01-15T14:00</c:v>
                </c:pt>
                <c:pt idx="63">
                  <c:v>2026-01-15T15:00</c:v>
                </c:pt>
                <c:pt idx="64">
                  <c:v>2026-01-15T16:00</c:v>
                </c:pt>
                <c:pt idx="65">
                  <c:v>2026-01-15T17:00</c:v>
                </c:pt>
                <c:pt idx="66">
                  <c:v>2026-01-15T18:00</c:v>
                </c:pt>
                <c:pt idx="67">
                  <c:v>2026-01-15T19:00</c:v>
                </c:pt>
                <c:pt idx="68">
                  <c:v>2026-01-15T20:00</c:v>
                </c:pt>
                <c:pt idx="69">
                  <c:v>2026-01-15T21:00</c:v>
                </c:pt>
                <c:pt idx="70">
                  <c:v>2026-01-15T22:00</c:v>
                </c:pt>
                <c:pt idx="71">
                  <c:v>2026-01-15T23:00</c:v>
                </c:pt>
                <c:pt idx="72">
                  <c:v>2026-01-16T00:00</c:v>
                </c:pt>
                <c:pt idx="73">
                  <c:v>2026-01-16T01:00</c:v>
                </c:pt>
                <c:pt idx="74">
                  <c:v>2026-01-16T02:00</c:v>
                </c:pt>
                <c:pt idx="75">
                  <c:v>2026-01-16T03:00</c:v>
                </c:pt>
                <c:pt idx="76">
                  <c:v>2026-01-16T04:00</c:v>
                </c:pt>
                <c:pt idx="77">
                  <c:v>2026-01-16T05:00</c:v>
                </c:pt>
                <c:pt idx="78">
                  <c:v>2026-01-16T06:00</c:v>
                </c:pt>
                <c:pt idx="79">
                  <c:v>2026-01-16T07:00</c:v>
                </c:pt>
                <c:pt idx="80">
                  <c:v>2026-01-16T08:00</c:v>
                </c:pt>
                <c:pt idx="81">
                  <c:v>2026-01-16T09:00</c:v>
                </c:pt>
                <c:pt idx="82">
                  <c:v>2026-01-16T10:00</c:v>
                </c:pt>
                <c:pt idx="83">
                  <c:v>2026-01-16T11:00</c:v>
                </c:pt>
                <c:pt idx="84">
                  <c:v>2026-01-16T12:00</c:v>
                </c:pt>
                <c:pt idx="85">
                  <c:v>2026-01-16T13:00</c:v>
                </c:pt>
                <c:pt idx="86">
                  <c:v>2026-01-16T14:00</c:v>
                </c:pt>
                <c:pt idx="87">
                  <c:v>2026-01-16T15:00</c:v>
                </c:pt>
                <c:pt idx="88">
                  <c:v>2026-01-16T16:00</c:v>
                </c:pt>
                <c:pt idx="89">
                  <c:v>2026-01-16T17:00</c:v>
                </c:pt>
                <c:pt idx="90">
                  <c:v>2026-01-16T18:00</c:v>
                </c:pt>
                <c:pt idx="91">
                  <c:v>2026-01-16T19:00</c:v>
                </c:pt>
                <c:pt idx="92">
                  <c:v>2026-01-16T20:00</c:v>
                </c:pt>
                <c:pt idx="93">
                  <c:v>2026-01-16T21:00</c:v>
                </c:pt>
                <c:pt idx="94">
                  <c:v>2026-01-16T22:00</c:v>
                </c:pt>
                <c:pt idx="95">
                  <c:v>2026-01-16T23:00</c:v>
                </c:pt>
                <c:pt idx="96">
                  <c:v>2026-01-17T00:00</c:v>
                </c:pt>
                <c:pt idx="97">
                  <c:v>2026-01-17T01:00</c:v>
                </c:pt>
                <c:pt idx="98">
                  <c:v>2026-01-17T02:00</c:v>
                </c:pt>
                <c:pt idx="99">
                  <c:v>2026-01-17T03:00</c:v>
                </c:pt>
                <c:pt idx="100">
                  <c:v>2026-01-17T04:00</c:v>
                </c:pt>
                <c:pt idx="101">
                  <c:v>2026-01-17T05:00</c:v>
                </c:pt>
                <c:pt idx="102">
                  <c:v>2026-01-17T06:00</c:v>
                </c:pt>
                <c:pt idx="103">
                  <c:v>2026-01-17T07:00</c:v>
                </c:pt>
                <c:pt idx="104">
                  <c:v>2026-01-17T08:00</c:v>
                </c:pt>
                <c:pt idx="105">
                  <c:v>2026-01-17T09:00</c:v>
                </c:pt>
                <c:pt idx="106">
                  <c:v>2026-01-17T10:00</c:v>
                </c:pt>
                <c:pt idx="107">
                  <c:v>2026-01-17T11:00</c:v>
                </c:pt>
                <c:pt idx="108">
                  <c:v>2026-01-17T12:00</c:v>
                </c:pt>
                <c:pt idx="109">
                  <c:v>2026-01-17T13:00</c:v>
                </c:pt>
                <c:pt idx="110">
                  <c:v>2026-01-17T14:00</c:v>
                </c:pt>
                <c:pt idx="111">
                  <c:v>2026-01-17T15:00</c:v>
                </c:pt>
                <c:pt idx="112">
                  <c:v>2026-01-17T16:00</c:v>
                </c:pt>
                <c:pt idx="113">
                  <c:v>2026-01-17T17:00</c:v>
                </c:pt>
                <c:pt idx="114">
                  <c:v>2026-01-17T18:00</c:v>
                </c:pt>
                <c:pt idx="115">
                  <c:v>2026-01-17T19:00</c:v>
                </c:pt>
                <c:pt idx="116">
                  <c:v>2026-01-17T20:00</c:v>
                </c:pt>
                <c:pt idx="117">
                  <c:v>2026-01-17T21:00</c:v>
                </c:pt>
                <c:pt idx="118">
                  <c:v>2026-01-17T22:00</c:v>
                </c:pt>
                <c:pt idx="119">
                  <c:v>2026-01-17T23:00</c:v>
                </c:pt>
              </c:strCache>
            </c:strRef>
          </c:xVal>
          <c:yVal>
            <c:numRef>
              <c:f>'open-meteo-48.85N2.35E43m'!$D$2:$D$122</c:f>
              <c:numCache>
                <c:formatCode>General</c:formatCode>
                <c:ptCount val="121"/>
                <c:pt idx="0">
                  <c:v>0</c:v>
                </c:pt>
                <c:pt idx="1">
                  <c:v>684.00000000000455</c:v>
                </c:pt>
                <c:pt idx="2">
                  <c:v>1292.6303999999966</c:v>
                </c:pt>
                <c:pt idx="3">
                  <c:v>1797.3430502400056</c:v>
                </c:pt>
                <c:pt idx="4">
                  <c:v>2211.1395612733454</c:v>
                </c:pt>
                <c:pt idx="5">
                  <c:v>2566.0940305618142</c:v>
                </c:pt>
                <c:pt idx="6">
                  <c:v>2866.4453510205944</c:v>
                </c:pt>
                <c:pt idx="7">
                  <c:v>3144.4083747821951</c:v>
                </c:pt>
                <c:pt idx="8">
                  <c:v>3375.5353867245399</c:v>
                </c:pt>
                <c:pt idx="9">
                  <c:v>3612.1313075452831</c:v>
                </c:pt>
                <c:pt idx="10">
                  <c:v>3795.5329813584804</c:v>
                </c:pt>
                <c:pt idx="11">
                  <c:v>3921.6813697823836</c:v>
                </c:pt>
                <c:pt idx="12">
                  <c:v>3951.3065114966926</c:v>
                </c:pt>
                <c:pt idx="13">
                  <c:v>3910.3725256617317</c:v>
                </c:pt>
                <c:pt idx="14">
                  <c:v>3834.1961066730869</c:v>
                </c:pt>
                <c:pt idx="15">
                  <c:v>3772.8283835358311</c:v>
                </c:pt>
                <c:pt idx="16">
                  <c:v>3615.3905457764599</c:v>
                </c:pt>
                <c:pt idx="17">
                  <c:v>3502.9586236775144</c:v>
                </c:pt>
                <c:pt idx="18">
                  <c:v>3441.1834672346054</c:v>
                </c:pt>
                <c:pt idx="19">
                  <c:v>3405.8174012042032</c:v>
                </c:pt>
                <c:pt idx="20">
                  <c:v>3413.3264984101074</c:v>
                </c:pt>
                <c:pt idx="21">
                  <c:v>3412.1758271191816</c:v>
                </c:pt>
                <c:pt idx="22">
                  <c:v>3382.4488463272041</c:v>
                </c:pt>
                <c:pt idx="23">
                  <c:v>3365.7007906012027</c:v>
                </c:pt>
                <c:pt idx="24">
                  <c:v>3445.808556908325</c:v>
                </c:pt>
                <c:pt idx="25">
                  <c:v>3553.5433734453468</c:v>
                </c:pt>
                <c:pt idx="26">
                  <c:v>3669.134541647576</c:v>
                </c:pt>
                <c:pt idx="27">
                  <c:v>3776.6547867512836</c:v>
                </c:pt>
                <c:pt idx="28">
                  <c:v>3856.0730962068315</c:v>
                </c:pt>
                <c:pt idx="29">
                  <c:v>3912.852486304228</c:v>
                </c:pt>
                <c:pt idx="30">
                  <c:v>3958.5939629666809</c:v>
                </c:pt>
                <c:pt idx="31">
                  <c:v>4002.6432965659533</c:v>
                </c:pt>
                <c:pt idx="32">
                  <c:v>4016.5294397135299</c:v>
                </c:pt>
                <c:pt idx="33">
                  <c:v>4020.5161166332282</c:v>
                </c:pt>
                <c:pt idx="34">
                  <c:v>4002.1277835597325</c:v>
                </c:pt>
                <c:pt idx="35">
                  <c:v>3972.9141424357194</c:v>
                </c:pt>
                <c:pt idx="36">
                  <c:v>3920.5796331462216</c:v>
                </c:pt>
                <c:pt idx="37">
                  <c:v>3856.8189524625927</c:v>
                </c:pt>
                <c:pt idx="38">
                  <c:v>3812.653348103865</c:v>
                </c:pt>
                <c:pt idx="39">
                  <c:v>3755.4735372324722</c:v>
                </c:pt>
                <c:pt idx="40">
                  <c:v>3558.2094815944743</c:v>
                </c:pt>
                <c:pt idx="41">
                  <c:v>3449.6935583725017</c:v>
                </c:pt>
                <c:pt idx="42">
                  <c:v>3383.8731306248883</c:v>
                </c:pt>
                <c:pt idx="43">
                  <c:v>3316.4481940314163</c:v>
                </c:pt>
                <c:pt idx="44">
                  <c:v>3305.3306651117077</c:v>
                </c:pt>
                <c:pt idx="45">
                  <c:v>3317.9743838139862</c:v>
                </c:pt>
                <c:pt idx="46">
                  <c:v>3328.1601636005398</c:v>
                </c:pt>
                <c:pt idx="47">
                  <c:v>3372.3658277965997</c:v>
                </c:pt>
                <c:pt idx="48">
                  <c:v>3371.9779108729322</c:v>
                </c:pt>
                <c:pt idx="49">
                  <c:v>3386.0654049992254</c:v>
                </c:pt>
                <c:pt idx="50">
                  <c:v>3368.6142902673841</c:v>
                </c:pt>
                <c:pt idx="51">
                  <c:v>3383.3556722393964</c:v>
                </c:pt>
                <c:pt idx="52">
                  <c:v>3402.431329556066</c:v>
                </c:pt>
                <c:pt idx="53">
                  <c:v>3439.3986790903596</c:v>
                </c:pt>
                <c:pt idx="54">
                  <c:v>3526.7795758751854</c:v>
                </c:pt>
                <c:pt idx="55">
                  <c:v>3625.9736263250452</c:v>
                </c:pt>
                <c:pt idx="56">
                  <c:v>3727.4843533674584</c:v>
                </c:pt>
                <c:pt idx="57">
                  <c:v>3794.8613950728218</c:v>
                </c:pt>
                <c:pt idx="58">
                  <c:v>3841.940339870664</c:v>
                </c:pt>
                <c:pt idx="59">
                  <c:v>3822.2671377998017</c:v>
                </c:pt>
                <c:pt idx="60">
                  <c:v>3792.018406211515</c:v>
                </c:pt>
                <c:pt idx="61">
                  <c:v>3724.4500280439929</c:v>
                </c:pt>
                <c:pt idx="62">
                  <c:v>3634.0169425922395</c:v>
                </c:pt>
                <c:pt idx="63">
                  <c:v>3525.1640489523161</c:v>
                </c:pt>
                <c:pt idx="64">
                  <c:v>3351.0721578359794</c:v>
                </c:pt>
                <c:pt idx="65">
                  <c:v>3225.2237303526599</c:v>
                </c:pt>
                <c:pt idx="66">
                  <c:v>3145.4402371721103</c:v>
                </c:pt>
                <c:pt idx="67">
                  <c:v>3081.1666550658501</c:v>
                </c:pt>
                <c:pt idx="68">
                  <c:v>3036.5878573210557</c:v>
                </c:pt>
                <c:pt idx="69">
                  <c:v>3022.2751778578427</c:v>
                </c:pt>
                <c:pt idx="70">
                  <c:v>3046.7448832822797</c:v>
                </c:pt>
                <c:pt idx="71">
                  <c:v>3088.0576779722091</c:v>
                </c:pt>
                <c:pt idx="72">
                  <c:v>3121.3392653744168</c:v>
                </c:pt>
                <c:pt idx="73">
                  <c:v>3191.3509121856264</c:v>
                </c:pt>
                <c:pt idx="74">
                  <c:v>3240.5522948567445</c:v>
                </c:pt>
                <c:pt idx="75">
                  <c:v>3301.7889287365952</c:v>
                </c:pt>
                <c:pt idx="76">
                  <c:v>3358.321160990201</c:v>
                </c:pt>
                <c:pt idx="77">
                  <c:v>3418.2635272937032</c:v>
                </c:pt>
                <c:pt idx="78">
                  <c:v>3524.15309758781</c:v>
                </c:pt>
                <c:pt idx="79">
                  <c:v>3659.857735416736</c:v>
                </c:pt>
                <c:pt idx="80">
                  <c:v>3747.5813916517177</c:v>
                </c:pt>
                <c:pt idx="81">
                  <c:v>3818.2515691146259</c:v>
                </c:pt>
                <c:pt idx="82">
                  <c:v>3860.7834640787432</c:v>
                </c:pt>
                <c:pt idx="83">
                  <c:v>3873.4471586618292</c:v>
                </c:pt>
                <c:pt idx="84">
                  <c:v>3876.4490310179767</c:v>
                </c:pt>
                <c:pt idx="85">
                  <c:v>3821.2673393880791</c:v>
                </c:pt>
                <c:pt idx="86">
                  <c:v>3769.6129686110426</c:v>
                </c:pt>
                <c:pt idx="87">
                  <c:v>3728.0002075130624</c:v>
                </c:pt>
                <c:pt idx="88">
                  <c:v>3665.6769671725265</c:v>
                </c:pt>
                <c:pt idx="89">
                  <c:v>3629.8693647541922</c:v>
                </c:pt>
                <c:pt idx="90">
                  <c:v>3601.0227602459822</c:v>
                </c:pt>
                <c:pt idx="91">
                  <c:v>3599.3839356541635</c:v>
                </c:pt>
                <c:pt idx="92">
                  <c:v>3634.0636985629972</c:v>
                </c:pt>
                <c:pt idx="93">
                  <c:v>3676.4017155623565</c:v>
                </c:pt>
                <c:pt idx="94">
                  <c:v>3717.7092220570353</c:v>
                </c:pt>
                <c:pt idx="95">
                  <c:v>3750.9865492891413</c:v>
                </c:pt>
                <c:pt idx="96">
                  <c:v>3799.3947641073332</c:v>
                </c:pt>
                <c:pt idx="97">
                  <c:v>3845.5924219648628</c:v>
                </c:pt>
                <c:pt idx="98">
                  <c:v>3882.8092551348982</c:v>
                </c:pt>
                <c:pt idx="99">
                  <c:v>3934.391135936668</c:v>
                </c:pt>
                <c:pt idx="100">
                  <c:v>4004.7454991105801</c:v>
                </c:pt>
                <c:pt idx="101">
                  <c:v>4075.8229740834827</c:v>
                </c:pt>
                <c:pt idx="102">
                  <c:v>4169.0829879216553</c:v>
                </c:pt>
                <c:pt idx="103">
                  <c:v>4237.0132550696835</c:v>
                </c:pt>
                <c:pt idx="104">
                  <c:v>4284.5378782841335</c:v>
                </c:pt>
                <c:pt idx="105">
                  <c:v>4337.2237147456972</c:v>
                </c:pt>
                <c:pt idx="106">
                  <c:v>4343.6674245991289</c:v>
                </c:pt>
                <c:pt idx="107">
                  <c:v>4327.2584772570608</c:v>
                </c:pt>
                <c:pt idx="108">
                  <c:v>4256.4394292782918</c:v>
                </c:pt>
                <c:pt idx="109">
                  <c:v>4148.9876042265905</c:v>
                </c:pt>
                <c:pt idx="110">
                  <c:v>4004.8244139649469</c:v>
                </c:pt>
                <c:pt idx="111">
                  <c:v>3859.8865478901698</c:v>
                </c:pt>
                <c:pt idx="112">
                  <c:v>3728.7246029803177</c:v>
                </c:pt>
                <c:pt idx="113">
                  <c:v>3615.8605401609379</c:v>
                </c:pt>
                <c:pt idx="114">
                  <c:v>3532.1372511536529</c:v>
                </c:pt>
                <c:pt idx="115">
                  <c:v>3486.2897695293782</c:v>
                </c:pt>
                <c:pt idx="116">
                  <c:v>3506.9550383328619</c:v>
                </c:pt>
                <c:pt idx="117">
                  <c:v>3566.802978880954</c:v>
                </c:pt>
                <c:pt idx="118">
                  <c:v>3629.416479786496</c:v>
                </c:pt>
                <c:pt idx="119">
                  <c:v>3665.4579161159973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12-4C24-BA17-B8D5A01ED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9590367"/>
        <c:axId val="2039590847"/>
      </c:scatterChart>
      <c:valAx>
        <c:axId val="203959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9590847"/>
        <c:crosses val="autoZero"/>
        <c:crossBetween val="midCat"/>
      </c:valAx>
      <c:valAx>
        <c:axId val="203959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9590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260556</xdr:colOff>
      <xdr:row>8</xdr:row>
      <xdr:rowOff>126877</xdr:rowOff>
    </xdr:from>
    <xdr:to>
      <xdr:col>15</xdr:col>
      <xdr:colOff>282866</xdr:colOff>
      <xdr:row>22</xdr:row>
      <xdr:rowOff>148758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4899793-F4F7-51CB-E8EB-ABC42C52A0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187937</xdr:colOff>
      <xdr:row>25</xdr:row>
      <xdr:rowOff>35792</xdr:rowOff>
    </xdr:from>
    <xdr:to>
      <xdr:col>15</xdr:col>
      <xdr:colOff>204502</xdr:colOff>
      <xdr:row>39</xdr:row>
      <xdr:rowOff>163328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350FE3D-FDB3-6984-3DAC-61B22D99D1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55E17-7C3D-4355-BE97-EE04DE512ECF}">
  <dimension ref="A1:N122"/>
  <sheetViews>
    <sheetView tabSelected="1" topLeftCell="D1" zoomScale="97" workbookViewId="0">
      <selection activeCell="T12" sqref="T12"/>
    </sheetView>
  </sheetViews>
  <sheetFormatPr baseColWidth="10" defaultRowHeight="14.5" x14ac:dyDescent="0.35"/>
  <sheetData>
    <row r="1" spans="1:14" x14ac:dyDescent="0.35">
      <c r="A1" t="s">
        <v>0</v>
      </c>
      <c r="B1" t="s">
        <v>1</v>
      </c>
      <c r="C1" t="s">
        <v>122</v>
      </c>
      <c r="D1" t="s">
        <v>137</v>
      </c>
      <c r="E1" t="s">
        <v>123</v>
      </c>
      <c r="F1" t="s">
        <v>138</v>
      </c>
      <c r="G1" t="s">
        <v>139</v>
      </c>
      <c r="H1" t="s">
        <v>141</v>
      </c>
      <c r="K1" t="s">
        <v>126</v>
      </c>
      <c r="L1" t="s">
        <v>127</v>
      </c>
      <c r="M1" t="s">
        <v>128</v>
      </c>
      <c r="N1" t="s">
        <v>140</v>
      </c>
    </row>
    <row r="2" spans="1:14" x14ac:dyDescent="0.35">
      <c r="A2" t="s">
        <v>2</v>
      </c>
      <c r="B2">
        <v>10.5</v>
      </c>
      <c r="C2">
        <v>20</v>
      </c>
      <c r="D2">
        <f>MAX(0, MIN($L$5,$L$6*(20-C2)))</f>
        <v>0</v>
      </c>
      <c r="E2">
        <f>(B2-C2)/$L$2</f>
        <v>-3800</v>
      </c>
      <c r="F2">
        <f>10000+D2</f>
        <v>10000</v>
      </c>
      <c r="G2">
        <f>F2/1000</f>
        <v>10</v>
      </c>
      <c r="H2">
        <v>10</v>
      </c>
      <c r="K2" t="s">
        <v>125</v>
      </c>
      <c r="L2">
        <v>2.5000000000000001E-3</v>
      </c>
      <c r="M2" t="s">
        <v>132</v>
      </c>
      <c r="N2">
        <f>(G122-1579.3346)*100/G122</f>
        <v>2.7522753077374875</v>
      </c>
    </row>
    <row r="3" spans="1:14" x14ac:dyDescent="0.35">
      <c r="A3" t="s">
        <v>3</v>
      </c>
      <c r="B3">
        <v>9.6999999999999993</v>
      </c>
      <c r="C3" s="1">
        <f>C2+$L$4*((B2-C2)/($L$2*$L$3)+(D2)/$L$3)</f>
        <v>19.863199999999999</v>
      </c>
      <c r="D3">
        <f>MAX(0, MIN($L$5,$L$6*(20-C3)))</f>
        <v>684.00000000000455</v>
      </c>
      <c r="E3">
        <f>(B3-C3)/$L$2</f>
        <v>-4065.2799999999997</v>
      </c>
      <c r="F3">
        <f t="shared" ref="F3:F66" si="0">10000+D3</f>
        <v>10684.000000000004</v>
      </c>
      <c r="G3">
        <f t="shared" ref="G3:G66" si="1">F3/1000</f>
        <v>10.684000000000003</v>
      </c>
      <c r="H3">
        <f>H2+G3</f>
        <v>20.684000000000005</v>
      </c>
      <c r="K3" t="s">
        <v>129</v>
      </c>
      <c r="L3" s="1">
        <v>100000000</v>
      </c>
      <c r="M3" t="s">
        <v>130</v>
      </c>
    </row>
    <row r="4" spans="1:14" x14ac:dyDescent="0.35">
      <c r="A4" t="s">
        <v>4</v>
      </c>
      <c r="B4">
        <v>9.5</v>
      </c>
      <c r="C4" s="1">
        <f>C3+$L$4*((B3-C3)/($L$2*$L$3)+(D3)/$L$3)</f>
        <v>19.741473920000001</v>
      </c>
      <c r="D4">
        <f>MAX(0, MIN($L$5,$L$6*(20-C4)))</f>
        <v>1292.6303999999966</v>
      </c>
      <c r="E4">
        <f>(B4-C4)/$L$2</f>
        <v>-4096.5895680000003</v>
      </c>
      <c r="F4">
        <f t="shared" si="0"/>
        <v>11292.630399999996</v>
      </c>
      <c r="G4">
        <f t="shared" si="1"/>
        <v>11.292630399999997</v>
      </c>
      <c r="H4">
        <f t="shared" ref="H4:H67" si="2">H3+G4</f>
        <v>31.976630400000001</v>
      </c>
      <c r="K4" t="s">
        <v>124</v>
      </c>
      <c r="L4">
        <v>3600</v>
      </c>
      <c r="M4" t="s">
        <v>131</v>
      </c>
    </row>
    <row r="5" spans="1:14" x14ac:dyDescent="0.35">
      <c r="A5" t="s">
        <v>5</v>
      </c>
      <c r="B5">
        <v>9.4</v>
      </c>
      <c r="C5" s="1">
        <f>C4+$L$4*((B4-C4)/($L$2*$L$3)+(D4)/$L$3)</f>
        <v>19.640531389951999</v>
      </c>
      <c r="D5">
        <f>MAX(0, MIN($L$5,$L$6*(20-C5)))</f>
        <v>1797.3430502400056</v>
      </c>
      <c r="E5">
        <f>(B5-C5)/$L$2</f>
        <v>-4096.2125559807992</v>
      </c>
      <c r="F5">
        <f t="shared" si="0"/>
        <v>11797.343050240006</v>
      </c>
      <c r="G5">
        <f t="shared" si="1"/>
        <v>11.797343050240006</v>
      </c>
      <c r="H5">
        <f t="shared" si="2"/>
        <v>43.773973450240007</v>
      </c>
      <c r="K5" t="s">
        <v>133</v>
      </c>
      <c r="L5">
        <v>50000</v>
      </c>
      <c r="M5" t="s">
        <v>135</v>
      </c>
    </row>
    <row r="6" spans="1:14" x14ac:dyDescent="0.35">
      <c r="A6" t="s">
        <v>6</v>
      </c>
      <c r="B6">
        <v>9.1</v>
      </c>
      <c r="C6" s="1">
        <f>C5+$L$4*((B5-C5)/($L$2*$L$3)+(D5)/$L$3)</f>
        <v>19.557772087745331</v>
      </c>
      <c r="D6">
        <f>MAX(0, MIN($L$5,$L$6*(20-C6)))</f>
        <v>2211.1395612733454</v>
      </c>
      <c r="E6">
        <f>(B6-C6)/$L$2</f>
        <v>-4183.1088350981327</v>
      </c>
      <c r="F6">
        <f t="shared" si="0"/>
        <v>12211.139561273345</v>
      </c>
      <c r="G6">
        <f t="shared" si="1"/>
        <v>12.211139561273345</v>
      </c>
      <c r="H6">
        <f t="shared" si="2"/>
        <v>55.985113011513349</v>
      </c>
      <c r="K6" t="s">
        <v>134</v>
      </c>
      <c r="L6">
        <v>5000</v>
      </c>
      <c r="M6" t="s">
        <v>136</v>
      </c>
    </row>
    <row r="7" spans="1:14" x14ac:dyDescent="0.35">
      <c r="A7" t="s">
        <v>7</v>
      </c>
      <c r="B7">
        <v>8.9</v>
      </c>
      <c r="C7" s="1">
        <f>C6+$L$4*((B6-C6)/($L$2*$L$3)+(D6)/$L$3)</f>
        <v>19.486781193887637</v>
      </c>
      <c r="D7">
        <f>MAX(0, MIN($L$5,$L$6*(20-C7)))</f>
        <v>2566.0940305618142</v>
      </c>
      <c r="E7">
        <f>(B7-C7)/$L$2</f>
        <v>-4234.7124775550546</v>
      </c>
      <c r="F7">
        <f t="shared" si="0"/>
        <v>12566.094030561813</v>
      </c>
      <c r="G7">
        <f t="shared" si="1"/>
        <v>12.566094030561814</v>
      </c>
      <c r="H7">
        <f t="shared" si="2"/>
        <v>68.551207042075163</v>
      </c>
    </row>
    <row r="8" spans="1:14" x14ac:dyDescent="0.35">
      <c r="A8" t="s">
        <v>8</v>
      </c>
      <c r="B8">
        <v>8.4</v>
      </c>
      <c r="C8" s="1">
        <f>C7+$L$4*((B7-C7)/($L$2*$L$3)+(D7)/$L$3)</f>
        <v>19.426710929795881</v>
      </c>
      <c r="D8">
        <f>MAX(0, MIN($L$5,$L$6*(20-C8)))</f>
        <v>2866.4453510205944</v>
      </c>
      <c r="E8">
        <f>(B8-C8)/$L$2</f>
        <v>-4410.6843719183526</v>
      </c>
      <c r="F8">
        <f t="shared" si="0"/>
        <v>12866.445351020595</v>
      </c>
      <c r="G8">
        <f t="shared" si="1"/>
        <v>12.866445351020595</v>
      </c>
      <c r="H8">
        <f t="shared" si="2"/>
        <v>81.41765239309575</v>
      </c>
    </row>
    <row r="9" spans="1:14" x14ac:dyDescent="0.35">
      <c r="A9" t="s">
        <v>9</v>
      </c>
      <c r="B9">
        <v>8.3000000000000007</v>
      </c>
      <c r="C9" s="1">
        <f>C8+$L$4*((B8-C8)/($L$2*$L$3)+(D8)/$L$3)</f>
        <v>19.371118325043561</v>
      </c>
      <c r="D9">
        <f>MAX(0, MIN($L$5,$L$6*(20-C9)))</f>
        <v>3144.4083747821951</v>
      </c>
      <c r="E9">
        <f>(B9-C9)/$L$2</f>
        <v>-4428.4473300174241</v>
      </c>
      <c r="F9">
        <f t="shared" si="0"/>
        <v>13144.408374782195</v>
      </c>
      <c r="G9">
        <f t="shared" si="1"/>
        <v>13.144408374782195</v>
      </c>
      <c r="H9">
        <f t="shared" si="2"/>
        <v>94.562060767877938</v>
      </c>
    </row>
    <row r="10" spans="1:14" x14ac:dyDescent="0.35">
      <c r="A10" t="s">
        <v>10</v>
      </c>
      <c r="B10">
        <v>7.6</v>
      </c>
      <c r="C10" s="1">
        <f>C9+$L$4*((B9-C9)/($L$2*$L$3)+(D9)/$L$3)</f>
        <v>19.324892922655092</v>
      </c>
      <c r="D10">
        <f>MAX(0, MIN($L$5,$L$6*(20-C10)))</f>
        <v>3375.5353867245399</v>
      </c>
      <c r="E10">
        <f>(B10-C10)/$L$2</f>
        <v>-4689.9571690620369</v>
      </c>
      <c r="F10">
        <f t="shared" si="0"/>
        <v>13375.535386724539</v>
      </c>
      <c r="G10">
        <f t="shared" si="1"/>
        <v>13.37553538672454</v>
      </c>
      <c r="H10">
        <f t="shared" si="2"/>
        <v>107.93759615460247</v>
      </c>
    </row>
    <row r="11" spans="1:14" x14ac:dyDescent="0.35">
      <c r="A11" t="s">
        <v>11</v>
      </c>
      <c r="B11">
        <v>7.7</v>
      </c>
      <c r="C11" s="1">
        <f>C10+$L$4*((B10-C10)/($L$2*$L$3)+(D10)/$L$3)</f>
        <v>19.277573738490943</v>
      </c>
      <c r="D11">
        <f>MAX(0, MIN($L$5,$L$6*(20-C11)))</f>
        <v>3612.1313075452831</v>
      </c>
      <c r="E11">
        <f>(B11-C11)/$L$2</f>
        <v>-4631.0294953963776</v>
      </c>
      <c r="F11">
        <f t="shared" si="0"/>
        <v>13612.131307545284</v>
      </c>
      <c r="G11">
        <f t="shared" si="1"/>
        <v>13.612131307545283</v>
      </c>
      <c r="H11">
        <f t="shared" si="2"/>
        <v>121.54972746214776</v>
      </c>
    </row>
    <row r="12" spans="1:14" x14ac:dyDescent="0.35">
      <c r="A12" t="s">
        <v>12</v>
      </c>
      <c r="B12">
        <v>8</v>
      </c>
      <c r="C12" s="1">
        <f>C11+$L$4*((B11-C11)/($L$2*$L$3)+(D11)/$L$3)</f>
        <v>19.240893403728304</v>
      </c>
      <c r="D12">
        <f>MAX(0, MIN($L$5,$L$6*(20-C12)))</f>
        <v>3795.5329813584804</v>
      </c>
      <c r="E12">
        <f>(B12-C12)/$L$2</f>
        <v>-4496.3573614913212</v>
      </c>
      <c r="F12">
        <f t="shared" si="0"/>
        <v>13795.532981358479</v>
      </c>
      <c r="G12">
        <f t="shared" si="1"/>
        <v>13.795532981358479</v>
      </c>
      <c r="H12">
        <f t="shared" si="2"/>
        <v>135.34526044350625</v>
      </c>
    </row>
    <row r="13" spans="1:14" x14ac:dyDescent="0.35">
      <c r="A13" t="s">
        <v>13</v>
      </c>
      <c r="B13">
        <v>9</v>
      </c>
      <c r="C13" s="1">
        <f>C12+$L$4*((B12-C12)/($L$2*$L$3)+(D12)/$L$3)</f>
        <v>19.215663726043523</v>
      </c>
      <c r="D13">
        <f>MAX(0, MIN($L$5,$L$6*(20-C13)))</f>
        <v>3921.6813697823836</v>
      </c>
      <c r="E13">
        <f>(B13-C13)/$L$2</f>
        <v>-4086.2654904174092</v>
      </c>
      <c r="F13">
        <f t="shared" si="0"/>
        <v>13921.681369782384</v>
      </c>
      <c r="G13">
        <f t="shared" si="1"/>
        <v>13.921681369782384</v>
      </c>
      <c r="H13">
        <f t="shared" si="2"/>
        <v>149.26694181328864</v>
      </c>
    </row>
    <row r="14" spans="1:14" x14ac:dyDescent="0.35">
      <c r="A14" t="s">
        <v>14</v>
      </c>
      <c r="B14">
        <v>9.9</v>
      </c>
      <c r="C14" s="1">
        <f>C13+$L$4*((B13-C13)/($L$2*$L$3)+(D13)/$L$3)</f>
        <v>19.209738697700661</v>
      </c>
      <c r="D14">
        <f>MAX(0, MIN($L$5,$L$6*(20-C14)))</f>
        <v>3951.3065114966926</v>
      </c>
      <c r="E14">
        <f>(B14-C14)/$L$2</f>
        <v>-3723.8954790802645</v>
      </c>
      <c r="F14">
        <f t="shared" si="0"/>
        <v>13951.306511496692</v>
      </c>
      <c r="G14">
        <f t="shared" si="1"/>
        <v>13.951306511496693</v>
      </c>
      <c r="H14">
        <f t="shared" si="2"/>
        <v>163.21824832478532</v>
      </c>
    </row>
    <row r="15" spans="1:14" x14ac:dyDescent="0.35">
      <c r="A15" t="s">
        <v>15</v>
      </c>
      <c r="B15">
        <v>10.5</v>
      </c>
      <c r="C15" s="1">
        <f>C14+$L$4*((B14-C14)/($L$2*$L$3)+(D14)/$L$3)</f>
        <v>19.217925494867654</v>
      </c>
      <c r="D15">
        <f>MAX(0, MIN($L$5,$L$6*(20-C15)))</f>
        <v>3910.3725256617317</v>
      </c>
      <c r="E15">
        <f>(B15-C15)/$L$2</f>
        <v>-3487.1701979470613</v>
      </c>
      <c r="F15">
        <f t="shared" si="0"/>
        <v>13910.372525661733</v>
      </c>
      <c r="G15">
        <f t="shared" si="1"/>
        <v>13.910372525661733</v>
      </c>
      <c r="H15">
        <f t="shared" si="2"/>
        <v>177.12862085044705</v>
      </c>
    </row>
    <row r="16" spans="1:14" x14ac:dyDescent="0.35">
      <c r="A16" t="s">
        <v>16</v>
      </c>
      <c r="B16">
        <v>10.5</v>
      </c>
      <c r="C16" s="1">
        <f>C15+$L$4*((B15-C15)/($L$2*$L$3)+(D15)/$L$3)</f>
        <v>19.233160778665383</v>
      </c>
      <c r="D16">
        <f>MAX(0, MIN($L$5,$L$6*(20-C16)))</f>
        <v>3834.1961066730869</v>
      </c>
      <c r="E16">
        <f>(B16-C16)/$L$2</f>
        <v>-3493.2643114661528</v>
      </c>
      <c r="F16">
        <f t="shared" si="0"/>
        <v>13834.196106673087</v>
      </c>
      <c r="G16">
        <f t="shared" si="1"/>
        <v>13.834196106673087</v>
      </c>
      <c r="H16">
        <f t="shared" si="2"/>
        <v>190.96281695712014</v>
      </c>
    </row>
    <row r="17" spans="1:8" x14ac:dyDescent="0.35">
      <c r="A17" t="s">
        <v>17</v>
      </c>
      <c r="B17">
        <v>12</v>
      </c>
      <c r="C17" s="1">
        <f>C16+$L$4*((B16-C16)/($L$2*$L$3)+(D16)/$L$3)</f>
        <v>19.245434323292834</v>
      </c>
      <c r="D17">
        <f>MAX(0, MIN($L$5,$L$6*(20-C17)))</f>
        <v>3772.8283835358311</v>
      </c>
      <c r="E17">
        <f>(B17-C17)/$L$2</f>
        <v>-2898.1737293171336</v>
      </c>
      <c r="F17">
        <f t="shared" si="0"/>
        <v>13772.828383535831</v>
      </c>
      <c r="G17">
        <f t="shared" si="1"/>
        <v>13.772828383535831</v>
      </c>
      <c r="H17">
        <f t="shared" si="2"/>
        <v>204.73564534065596</v>
      </c>
    </row>
    <row r="18" spans="1:8" x14ac:dyDescent="0.35">
      <c r="A18" t="s">
        <v>18</v>
      </c>
      <c r="B18">
        <v>11.8</v>
      </c>
      <c r="C18" s="1">
        <f>C17+$L$4*((B17-C17)/($L$2*$L$3)+(D17)/$L$3)</f>
        <v>19.276921890844708</v>
      </c>
      <c r="D18">
        <f>MAX(0, MIN($L$5,$L$6*(20-C18)))</f>
        <v>3615.3905457764599</v>
      </c>
      <c r="E18">
        <f>(B18-C18)/$L$2</f>
        <v>-2990.7687563378827</v>
      </c>
      <c r="F18">
        <f t="shared" si="0"/>
        <v>13615.390545776459</v>
      </c>
      <c r="G18">
        <f t="shared" si="1"/>
        <v>13.61539054577646</v>
      </c>
      <c r="H18">
        <f t="shared" si="2"/>
        <v>218.35103588643241</v>
      </c>
    </row>
    <row r="19" spans="1:8" x14ac:dyDescent="0.35">
      <c r="A19" t="s">
        <v>19</v>
      </c>
      <c r="B19">
        <v>11.4</v>
      </c>
      <c r="C19" s="1">
        <f>C18+$L$4*((B18-C18)/($L$2*$L$3)+(D18)/$L$3)</f>
        <v>19.299408275264497</v>
      </c>
      <c r="D19">
        <f>MAX(0, MIN($L$5,$L$6*(20-C19)))</f>
        <v>3502.9586236775144</v>
      </c>
      <c r="E19">
        <f>(B19-C19)/$L$2</f>
        <v>-3159.7633101057986</v>
      </c>
      <c r="F19">
        <f t="shared" si="0"/>
        <v>13502.958623677514</v>
      </c>
      <c r="G19">
        <f t="shared" si="1"/>
        <v>13.502958623677515</v>
      </c>
      <c r="H19">
        <f t="shared" si="2"/>
        <v>231.85399451010994</v>
      </c>
    </row>
    <row r="20" spans="1:8" x14ac:dyDescent="0.35">
      <c r="A20" t="s">
        <v>20</v>
      </c>
      <c r="B20">
        <v>11.2</v>
      </c>
      <c r="C20" s="1">
        <f>C19+$L$4*((B19-C19)/($L$2*$L$3)+(D19)/$L$3)</f>
        <v>19.311763306553079</v>
      </c>
      <c r="D20">
        <f>MAX(0, MIN($L$5,$L$6*(20-C20)))</f>
        <v>3441.1834672346054</v>
      </c>
      <c r="E20">
        <f>(B20-C20)/$L$2</f>
        <v>-3244.705322621232</v>
      </c>
      <c r="F20">
        <f t="shared" si="0"/>
        <v>13441.183467234605</v>
      </c>
      <c r="G20">
        <f t="shared" si="1"/>
        <v>13.441183467234605</v>
      </c>
      <c r="H20">
        <f t="shared" si="2"/>
        <v>245.29517797734454</v>
      </c>
    </row>
    <row r="21" spans="1:8" x14ac:dyDescent="0.35">
      <c r="A21" t="s">
        <v>21</v>
      </c>
      <c r="B21">
        <v>10.7</v>
      </c>
      <c r="C21" s="1">
        <f>C20+$L$4*((B20-C20)/($L$2*$L$3)+(D20)/$L$3)</f>
        <v>19.318836519759159</v>
      </c>
      <c r="D21">
        <f>MAX(0, MIN($L$5,$L$6*(20-C21)))</f>
        <v>3405.8174012042032</v>
      </c>
      <c r="E21">
        <f>(B21-C21)/$L$2</f>
        <v>-3447.534607903664</v>
      </c>
      <c r="F21">
        <f t="shared" si="0"/>
        <v>13405.817401204204</v>
      </c>
      <c r="G21">
        <f t="shared" si="1"/>
        <v>13.405817401204203</v>
      </c>
      <c r="H21">
        <f t="shared" si="2"/>
        <v>258.70099537854873</v>
      </c>
    </row>
    <row r="22" spans="1:8" x14ac:dyDescent="0.35">
      <c r="A22" t="s">
        <v>22</v>
      </c>
      <c r="B22">
        <v>10.8</v>
      </c>
      <c r="C22" s="1">
        <f>C21+$L$4*((B21-C21)/($L$2*$L$3)+(D21)/$L$3)</f>
        <v>19.317334700317979</v>
      </c>
      <c r="D22">
        <f>MAX(0, MIN($L$5,$L$6*(20-C22)))</f>
        <v>3413.3264984101074</v>
      </c>
      <c r="E22">
        <f>(B22-C22)/$L$2</f>
        <v>-3406.9338801271911</v>
      </c>
      <c r="F22">
        <f t="shared" si="0"/>
        <v>13413.326498410108</v>
      </c>
      <c r="G22">
        <f t="shared" si="1"/>
        <v>13.413326498410107</v>
      </c>
      <c r="H22">
        <f t="shared" si="2"/>
        <v>272.11432187695885</v>
      </c>
    </row>
    <row r="23" spans="1:8" x14ac:dyDescent="0.35">
      <c r="A23" t="s">
        <v>23</v>
      </c>
      <c r="B23">
        <v>11.2</v>
      </c>
      <c r="C23" s="1">
        <f>C22+$L$4*((B22-C22)/($L$2*$L$3)+(D22)/$L$3)</f>
        <v>19.317564834576164</v>
      </c>
      <c r="D23">
        <f>MAX(0, MIN($L$5,$L$6*(20-C23)))</f>
        <v>3412.1758271191816</v>
      </c>
      <c r="E23">
        <f>(B23-C23)/$L$2</f>
        <v>-3247.0259338304659</v>
      </c>
      <c r="F23">
        <f t="shared" si="0"/>
        <v>13412.175827119181</v>
      </c>
      <c r="G23">
        <f t="shared" si="1"/>
        <v>13.412175827119182</v>
      </c>
      <c r="H23">
        <f t="shared" si="2"/>
        <v>285.52649770407805</v>
      </c>
    </row>
    <row r="24" spans="1:8" x14ac:dyDescent="0.35">
      <c r="A24" t="s">
        <v>24</v>
      </c>
      <c r="B24">
        <v>11.1</v>
      </c>
      <c r="C24" s="1">
        <f>C23+$L$4*((B23-C23)/($L$2*$L$3)+(D23)/$L$3)</f>
        <v>19.323510230734559</v>
      </c>
      <c r="D24">
        <f>MAX(0, MIN($L$5,$L$6*(20-C24)))</f>
        <v>3382.4488463272041</v>
      </c>
      <c r="E24">
        <f>(B24-C24)/$L$2</f>
        <v>-3289.4040922938239</v>
      </c>
      <c r="F24">
        <f t="shared" si="0"/>
        <v>13382.448846327205</v>
      </c>
      <c r="G24">
        <f t="shared" si="1"/>
        <v>13.382448846327204</v>
      </c>
      <c r="H24">
        <f t="shared" si="2"/>
        <v>298.90894655040523</v>
      </c>
    </row>
    <row r="25" spans="1:8" x14ac:dyDescent="0.35">
      <c r="A25" t="s">
        <v>25</v>
      </c>
      <c r="B25">
        <v>9.8000000000000007</v>
      </c>
      <c r="C25" s="1">
        <f>C24+$L$4*((B24-C24)/($L$2*$L$3)+(D24)/$L$3)</f>
        <v>19.326859841879759</v>
      </c>
      <c r="D25">
        <f>MAX(0, MIN($L$5,$L$6*(20-C25)))</f>
        <v>3365.7007906012027</v>
      </c>
      <c r="E25">
        <f>(B25-C25)/$L$2</f>
        <v>-3810.7439367519032</v>
      </c>
      <c r="F25">
        <f t="shared" si="0"/>
        <v>13365.700790601202</v>
      </c>
      <c r="G25">
        <f t="shared" si="1"/>
        <v>13.365700790601203</v>
      </c>
      <c r="H25">
        <f t="shared" si="2"/>
        <v>312.27464734100641</v>
      </c>
    </row>
    <row r="26" spans="1:8" x14ac:dyDescent="0.35">
      <c r="A26" t="s">
        <v>26</v>
      </c>
      <c r="B26">
        <v>9.1999999999999993</v>
      </c>
      <c r="C26" s="1">
        <f>C25+$L$4*((B25-C25)/($L$2*$L$3)+(D25)/$L$3)</f>
        <v>19.310838288618335</v>
      </c>
      <c r="D26">
        <f>MAX(0, MIN($L$5,$L$6*(20-C26)))</f>
        <v>3445.808556908325</v>
      </c>
      <c r="E26">
        <f>(B26-C26)/$L$2</f>
        <v>-4044.3353154473343</v>
      </c>
      <c r="F26">
        <f t="shared" si="0"/>
        <v>13445.808556908325</v>
      </c>
      <c r="G26">
        <f t="shared" si="1"/>
        <v>13.445808556908325</v>
      </c>
      <c r="H26">
        <f t="shared" si="2"/>
        <v>325.72045589791475</v>
      </c>
    </row>
    <row r="27" spans="1:8" x14ac:dyDescent="0.35">
      <c r="A27" t="s">
        <v>27</v>
      </c>
      <c r="B27">
        <v>8.8000000000000007</v>
      </c>
      <c r="C27" s="1">
        <f>C26+$L$4*((B26-C26)/($L$2*$L$3)+(D26)/$L$3)</f>
        <v>19.289291325310931</v>
      </c>
      <c r="D27">
        <f>MAX(0, MIN($L$5,$L$6*(20-C27)))</f>
        <v>3553.5433734453468</v>
      </c>
      <c r="E27">
        <f>(B27-C27)/$L$2</f>
        <v>-4195.7165301243722</v>
      </c>
      <c r="F27">
        <f t="shared" si="0"/>
        <v>13553.543373445347</v>
      </c>
      <c r="G27">
        <f t="shared" si="1"/>
        <v>13.553543373445347</v>
      </c>
      <c r="H27">
        <f t="shared" si="2"/>
        <v>339.27399927136008</v>
      </c>
    </row>
    <row r="28" spans="1:8" x14ac:dyDescent="0.35">
      <c r="A28" t="s">
        <v>28</v>
      </c>
      <c r="B28">
        <v>8.6</v>
      </c>
      <c r="C28" s="1">
        <f>C27+$L$4*((B27-C27)/($L$2*$L$3)+(D27)/$L$3)</f>
        <v>19.266173091670485</v>
      </c>
      <c r="D28">
        <f>MAX(0, MIN($L$5,$L$6*(20-C28)))</f>
        <v>3669.134541647576</v>
      </c>
      <c r="E28">
        <f>(B28-C28)/$L$2</f>
        <v>-4266.4692366681938</v>
      </c>
      <c r="F28">
        <f t="shared" si="0"/>
        <v>13669.134541647576</v>
      </c>
      <c r="G28">
        <f t="shared" si="1"/>
        <v>13.669134541647576</v>
      </c>
      <c r="H28">
        <f t="shared" si="2"/>
        <v>352.94313381300765</v>
      </c>
    </row>
    <row r="29" spans="1:8" x14ac:dyDescent="0.35">
      <c r="A29" t="s">
        <v>29</v>
      </c>
      <c r="B29">
        <v>8.6999999999999993</v>
      </c>
      <c r="C29" s="1">
        <f>C28+$L$4*((B28-C28)/($L$2*$L$3)+(D28)/$L$3)</f>
        <v>19.244669042649743</v>
      </c>
      <c r="D29">
        <f>MAX(0, MIN($L$5,$L$6*(20-C29)))</f>
        <v>3776.6547867512836</v>
      </c>
      <c r="E29">
        <f>(B29-C29)/$L$2</f>
        <v>-4217.8676170598974</v>
      </c>
      <c r="F29">
        <f t="shared" si="0"/>
        <v>13776.654786751284</v>
      </c>
      <c r="G29">
        <f t="shared" si="1"/>
        <v>13.776654786751283</v>
      </c>
      <c r="H29">
        <f t="shared" si="2"/>
        <v>366.71978859975894</v>
      </c>
    </row>
    <row r="30" spans="1:8" x14ac:dyDescent="0.35">
      <c r="A30" t="s">
        <v>30</v>
      </c>
      <c r="B30">
        <v>8.8000000000000007</v>
      </c>
      <c r="C30" s="1">
        <f>C29+$L$4*((B29-C29)/($L$2*$L$3)+(D29)/$L$3)</f>
        <v>19.228785380758634</v>
      </c>
      <c r="D30">
        <f>MAX(0, MIN($L$5,$L$6*(20-C30)))</f>
        <v>3856.0730962068315</v>
      </c>
      <c r="E30">
        <f>(B30-C30)/$L$2</f>
        <v>-4171.5141523034536</v>
      </c>
      <c r="F30">
        <f t="shared" si="0"/>
        <v>13856.073096206832</v>
      </c>
      <c r="G30">
        <f t="shared" si="1"/>
        <v>13.856073096206831</v>
      </c>
      <c r="H30">
        <f t="shared" si="2"/>
        <v>380.57586169596578</v>
      </c>
    </row>
    <row r="31" spans="1:8" x14ac:dyDescent="0.35">
      <c r="A31" t="s">
        <v>31</v>
      </c>
      <c r="B31">
        <v>8.8000000000000007</v>
      </c>
      <c r="C31" s="1">
        <f>C30+$L$4*((B30-C30)/($L$2*$L$3)+(D30)/$L$3)</f>
        <v>19.217429502739154</v>
      </c>
      <c r="D31">
        <f>MAX(0, MIN($L$5,$L$6*(20-C31)))</f>
        <v>3912.852486304228</v>
      </c>
      <c r="E31">
        <f>(B31-C31)/$L$2</f>
        <v>-4166.9718010956612</v>
      </c>
      <c r="F31">
        <f t="shared" si="0"/>
        <v>13912.852486304228</v>
      </c>
      <c r="G31">
        <f t="shared" si="1"/>
        <v>13.912852486304228</v>
      </c>
      <c r="H31">
        <f t="shared" si="2"/>
        <v>394.48871418227003</v>
      </c>
    </row>
    <row r="32" spans="1:8" x14ac:dyDescent="0.35">
      <c r="A32" t="s">
        <v>32</v>
      </c>
      <c r="B32">
        <v>8.6999999999999993</v>
      </c>
      <c r="C32" s="1">
        <f>C31+$L$4*((B31-C31)/($L$2*$L$3)+(D31)/$L$3)</f>
        <v>19.208281207406664</v>
      </c>
      <c r="D32">
        <f>MAX(0, MIN($L$5,$L$6*(20-C32)))</f>
        <v>3958.5939629666809</v>
      </c>
      <c r="E32">
        <f>(B32-C32)/$L$2</f>
        <v>-4203.3124829626659</v>
      </c>
      <c r="F32">
        <f t="shared" si="0"/>
        <v>13958.593962966681</v>
      </c>
      <c r="G32">
        <f t="shared" si="1"/>
        <v>13.958593962966681</v>
      </c>
      <c r="H32">
        <f t="shared" si="2"/>
        <v>408.44730814523672</v>
      </c>
    </row>
    <row r="33" spans="1:8" x14ac:dyDescent="0.35">
      <c r="A33" t="s">
        <v>33</v>
      </c>
      <c r="B33">
        <v>9</v>
      </c>
      <c r="C33" s="1">
        <f>C32+$L$4*((B32-C32)/($L$2*$L$3)+(D32)/$L$3)</f>
        <v>19.199471340686809</v>
      </c>
      <c r="D33">
        <f>MAX(0, MIN($L$5,$L$6*(20-C33)))</f>
        <v>4002.6432965659533</v>
      </c>
      <c r="E33">
        <f>(B33-C33)/$L$2</f>
        <v>-4079.7885362747238</v>
      </c>
      <c r="F33">
        <f t="shared" si="0"/>
        <v>14002.643296565953</v>
      </c>
      <c r="G33">
        <f t="shared" si="1"/>
        <v>14.002643296565953</v>
      </c>
      <c r="H33">
        <f t="shared" si="2"/>
        <v>422.44995144180268</v>
      </c>
    </row>
    <row r="34" spans="1:8" x14ac:dyDescent="0.35">
      <c r="A34" t="s">
        <v>34</v>
      </c>
      <c r="B34">
        <v>9.1</v>
      </c>
      <c r="C34" s="1">
        <f>C33+$L$4*((B33-C33)/($L$2*$L$3)+(D33)/$L$3)</f>
        <v>19.196694112057294</v>
      </c>
      <c r="D34">
        <f>MAX(0, MIN($L$5,$L$6*(20-C34)))</f>
        <v>4016.5294397135299</v>
      </c>
      <c r="E34">
        <f>(B34-C34)/$L$2</f>
        <v>-4038.6776448229175</v>
      </c>
      <c r="F34">
        <f t="shared" si="0"/>
        <v>14016.529439713529</v>
      </c>
      <c r="G34">
        <f t="shared" si="1"/>
        <v>14.01652943971353</v>
      </c>
      <c r="H34">
        <f t="shared" si="2"/>
        <v>436.46648088151619</v>
      </c>
    </row>
    <row r="35" spans="1:8" x14ac:dyDescent="0.35">
      <c r="A35" t="s">
        <v>35</v>
      </c>
      <c r="B35">
        <v>9.4</v>
      </c>
      <c r="C35" s="1">
        <f>C34+$L$4*((B34-C34)/($L$2*$L$3)+(D34)/$L$3)</f>
        <v>19.195896776673354</v>
      </c>
      <c r="D35">
        <f>MAX(0, MIN($L$5,$L$6*(20-C35)))</f>
        <v>4020.5161166332282</v>
      </c>
      <c r="E35">
        <f>(B35-C35)/$L$2</f>
        <v>-3918.3587106693417</v>
      </c>
      <c r="F35">
        <f t="shared" si="0"/>
        <v>14020.516116633229</v>
      </c>
      <c r="G35">
        <f t="shared" si="1"/>
        <v>14.02051611663323</v>
      </c>
      <c r="H35">
        <f t="shared" si="2"/>
        <v>450.48699699814944</v>
      </c>
    </row>
    <row r="36" spans="1:8" x14ac:dyDescent="0.35">
      <c r="A36" t="s">
        <v>36</v>
      </c>
      <c r="B36">
        <v>9.6</v>
      </c>
      <c r="C36" s="1">
        <f>C35+$L$4*((B35-C35)/($L$2*$L$3)+(D35)/$L$3)</f>
        <v>19.199574443288054</v>
      </c>
      <c r="D36">
        <f>MAX(0, MIN($L$5,$L$6*(20-C36)))</f>
        <v>4002.1277835597325</v>
      </c>
      <c r="E36">
        <f>(B36-C36)/$L$2</f>
        <v>-3839.8297773152217</v>
      </c>
      <c r="F36">
        <f t="shared" si="0"/>
        <v>14002.127783559732</v>
      </c>
      <c r="G36">
        <f t="shared" si="1"/>
        <v>14.002127783559732</v>
      </c>
      <c r="H36">
        <f t="shared" si="2"/>
        <v>464.48912478170917</v>
      </c>
    </row>
    <row r="37" spans="1:8" x14ac:dyDescent="0.35">
      <c r="A37" t="s">
        <v>37</v>
      </c>
      <c r="B37">
        <v>10</v>
      </c>
      <c r="C37" s="1">
        <f>C36+$L$4*((B36-C36)/($L$2*$L$3)+(D36)/$L$3)</f>
        <v>19.205417171512856</v>
      </c>
      <c r="D37">
        <f>MAX(0, MIN($L$5,$L$6*(20-C37)))</f>
        <v>3972.9141424357194</v>
      </c>
      <c r="E37">
        <f>(B37-C37)/$L$2</f>
        <v>-3682.1668686051426</v>
      </c>
      <c r="F37">
        <f t="shared" si="0"/>
        <v>13972.914142435719</v>
      </c>
      <c r="G37">
        <f t="shared" si="1"/>
        <v>13.972914142435718</v>
      </c>
      <c r="H37">
        <f t="shared" si="2"/>
        <v>478.46203892414491</v>
      </c>
    </row>
    <row r="38" spans="1:8" x14ac:dyDescent="0.35">
      <c r="A38" t="s">
        <v>38</v>
      </c>
      <c r="B38">
        <v>10.3</v>
      </c>
      <c r="C38" s="1">
        <f>C37+$L$4*((B37-C37)/($L$2*$L$3)+(D37)/$L$3)</f>
        <v>19.215884073370756</v>
      </c>
      <c r="D38">
        <f>MAX(0, MIN($L$5,$L$6*(20-C38)))</f>
        <v>3920.5796331462216</v>
      </c>
      <c r="E38">
        <f>(B38-C38)/$L$2</f>
        <v>-3566.3536293483021</v>
      </c>
      <c r="F38">
        <f t="shared" si="0"/>
        <v>13920.579633146222</v>
      </c>
      <c r="G38">
        <f t="shared" si="1"/>
        <v>13.920579633146222</v>
      </c>
      <c r="H38">
        <f t="shared" si="2"/>
        <v>492.38261855729115</v>
      </c>
    </row>
    <row r="39" spans="1:8" x14ac:dyDescent="0.35">
      <c r="A39" t="s">
        <v>39</v>
      </c>
      <c r="B39">
        <v>10.199999999999999</v>
      </c>
      <c r="C39" s="1">
        <f>C38+$L$4*((B38-C38)/($L$2*$L$3)+(D38)/$L$3)</f>
        <v>19.228636209507481</v>
      </c>
      <c r="D39">
        <f>MAX(0, MIN($L$5,$L$6*(20-C39)))</f>
        <v>3856.8189524625927</v>
      </c>
      <c r="E39">
        <f>(B39-C39)/$L$2</f>
        <v>-3611.4544838029929</v>
      </c>
      <c r="F39">
        <f t="shared" si="0"/>
        <v>13856.818952462592</v>
      </c>
      <c r="G39">
        <f t="shared" si="1"/>
        <v>13.856818952462593</v>
      </c>
      <c r="H39">
        <f t="shared" si="2"/>
        <v>506.23943750975377</v>
      </c>
    </row>
    <row r="40" spans="1:8" x14ac:dyDescent="0.35">
      <c r="A40" t="s">
        <v>40</v>
      </c>
      <c r="B40">
        <v>10.5</v>
      </c>
      <c r="C40" s="1">
        <f>C39+$L$4*((B39-C39)/($L$2*$L$3)+(D39)/$L$3)</f>
        <v>19.237469330379227</v>
      </c>
      <c r="D40">
        <f>MAX(0, MIN($L$5,$L$6*(20-C40)))</f>
        <v>3812.653348103865</v>
      </c>
      <c r="E40">
        <f>(B40-C40)/$L$2</f>
        <v>-3494.9877321516906</v>
      </c>
      <c r="F40">
        <f t="shared" si="0"/>
        <v>13812.653348103864</v>
      </c>
      <c r="G40">
        <f t="shared" si="1"/>
        <v>13.812653348103865</v>
      </c>
      <c r="H40">
        <f t="shared" si="2"/>
        <v>520.05209085785759</v>
      </c>
    </row>
    <row r="41" spans="1:8" x14ac:dyDescent="0.35">
      <c r="A41" t="s">
        <v>41</v>
      </c>
      <c r="B41">
        <v>12.6</v>
      </c>
      <c r="C41" s="1">
        <f>C40+$L$4*((B40-C40)/($L$2*$L$3)+(D40)/$L$3)</f>
        <v>19.248905292553506</v>
      </c>
      <c r="D41">
        <f>MAX(0, MIN($L$5,$L$6*(20-C41)))</f>
        <v>3755.4735372324722</v>
      </c>
      <c r="E41">
        <f>(B41-C41)/$L$2</f>
        <v>-2659.5621170214022</v>
      </c>
      <c r="F41">
        <f t="shared" si="0"/>
        <v>13755.473537232472</v>
      </c>
      <c r="G41">
        <f t="shared" si="1"/>
        <v>13.755473537232472</v>
      </c>
      <c r="H41">
        <f t="shared" si="2"/>
        <v>533.80756439509003</v>
      </c>
    </row>
    <row r="42" spans="1:8" x14ac:dyDescent="0.35">
      <c r="A42" t="s">
        <v>42</v>
      </c>
      <c r="B42">
        <v>11.9</v>
      </c>
      <c r="C42" s="1">
        <f>C41+$L$4*((B41-C41)/($L$2*$L$3)+(D41)/$L$3)</f>
        <v>19.288358103681105</v>
      </c>
      <c r="D42">
        <f>MAX(0, MIN($L$5,$L$6*(20-C42)))</f>
        <v>3558.2094815944743</v>
      </c>
      <c r="E42">
        <f>(B42-C42)/$L$2</f>
        <v>-2955.3432414724421</v>
      </c>
      <c r="F42">
        <f t="shared" si="0"/>
        <v>13558.209481594475</v>
      </c>
      <c r="G42">
        <f t="shared" si="1"/>
        <v>13.558209481594474</v>
      </c>
      <c r="H42">
        <f t="shared" si="2"/>
        <v>547.36577387668444</v>
      </c>
    </row>
    <row r="43" spans="1:8" x14ac:dyDescent="0.35">
      <c r="A43" t="s">
        <v>43</v>
      </c>
      <c r="B43">
        <v>11.6</v>
      </c>
      <c r="C43" s="1">
        <f>C42+$L$4*((B42-C42)/($L$2*$L$3)+(D42)/$L$3)</f>
        <v>19.3100612883255</v>
      </c>
      <c r="D43">
        <f>MAX(0, MIN($L$5,$L$6*(20-C43)))</f>
        <v>3449.6935583725017</v>
      </c>
      <c r="E43">
        <f>(B43-C43)/$L$2</f>
        <v>-3084.0245153301998</v>
      </c>
      <c r="F43">
        <f t="shared" si="0"/>
        <v>13449.693558372503</v>
      </c>
      <c r="G43">
        <f t="shared" si="1"/>
        <v>13.449693558372502</v>
      </c>
      <c r="H43">
        <f t="shared" si="2"/>
        <v>560.81546743505692</v>
      </c>
    </row>
    <row r="44" spans="1:8" x14ac:dyDescent="0.35">
      <c r="A44" t="s">
        <v>44</v>
      </c>
      <c r="B44">
        <v>11.8</v>
      </c>
      <c r="C44" s="1">
        <f>C43+$L$4*((B43-C43)/($L$2*$L$3)+(D43)/$L$3)</f>
        <v>19.323225373875022</v>
      </c>
      <c r="D44">
        <f>MAX(0, MIN($L$5,$L$6*(20-C44)))</f>
        <v>3383.8731306248883</v>
      </c>
      <c r="E44">
        <f>(B44-C44)/$L$2</f>
        <v>-3009.2901495500087</v>
      </c>
      <c r="F44">
        <f t="shared" si="0"/>
        <v>13383.873130624888</v>
      </c>
      <c r="G44">
        <f t="shared" si="1"/>
        <v>13.383873130624888</v>
      </c>
      <c r="H44">
        <f t="shared" si="2"/>
        <v>574.19934056568184</v>
      </c>
    </row>
    <row r="45" spans="1:8" x14ac:dyDescent="0.35">
      <c r="A45" t="s">
        <v>45</v>
      </c>
      <c r="B45">
        <v>11.2</v>
      </c>
      <c r="C45" s="1">
        <f>C44+$L$4*((B44-C44)/($L$2*$L$3)+(D44)/$L$3)</f>
        <v>19.336710361193717</v>
      </c>
      <c r="D45">
        <f>MAX(0, MIN($L$5,$L$6*(20-C45)))</f>
        <v>3316.4481940314163</v>
      </c>
      <c r="E45">
        <f>(B45-C45)/$L$2</f>
        <v>-3254.6841444774868</v>
      </c>
      <c r="F45">
        <f t="shared" si="0"/>
        <v>13316.448194031416</v>
      </c>
      <c r="G45">
        <f t="shared" si="1"/>
        <v>13.316448194031416</v>
      </c>
      <c r="H45">
        <f t="shared" si="2"/>
        <v>587.51578875971325</v>
      </c>
    </row>
    <row r="46" spans="1:8" x14ac:dyDescent="0.35">
      <c r="A46" t="s">
        <v>46</v>
      </c>
      <c r="B46">
        <v>10.9</v>
      </c>
      <c r="C46" s="1">
        <f>C45+$L$4*((B45-C45)/($L$2*$L$3)+(D45)/$L$3)</f>
        <v>19.338933866977658</v>
      </c>
      <c r="D46">
        <f>MAX(0, MIN($L$5,$L$6*(20-C46)))</f>
        <v>3305.3306651117077</v>
      </c>
      <c r="E46">
        <f>(B46-C46)/$L$2</f>
        <v>-3375.5735467910631</v>
      </c>
      <c r="F46">
        <f t="shared" si="0"/>
        <v>13305.330665111707</v>
      </c>
      <c r="G46">
        <f t="shared" si="1"/>
        <v>13.305330665111708</v>
      </c>
      <c r="H46">
        <f t="shared" si="2"/>
        <v>600.82111942482493</v>
      </c>
    </row>
    <row r="47" spans="1:8" x14ac:dyDescent="0.35">
      <c r="A47" t="s">
        <v>47</v>
      </c>
      <c r="B47">
        <v>10.9</v>
      </c>
      <c r="C47" s="1">
        <f>C46+$L$4*((B46-C46)/($L$2*$L$3)+(D46)/$L$3)</f>
        <v>19.336405123237203</v>
      </c>
      <c r="D47">
        <f>MAX(0, MIN($L$5,$L$6*(20-C47)))</f>
        <v>3317.9743838139862</v>
      </c>
      <c r="E47">
        <f>(B47-C47)/$L$2</f>
        <v>-3374.562049294881</v>
      </c>
      <c r="F47">
        <f t="shared" si="0"/>
        <v>13317.974383813986</v>
      </c>
      <c r="G47">
        <f t="shared" si="1"/>
        <v>13.317974383813986</v>
      </c>
      <c r="H47">
        <f t="shared" si="2"/>
        <v>614.1390938086389</v>
      </c>
    </row>
    <row r="48" spans="1:8" x14ac:dyDescent="0.35">
      <c r="A48" t="s">
        <v>48</v>
      </c>
      <c r="B48">
        <v>10.4</v>
      </c>
      <c r="C48" s="1">
        <f>C47+$L$4*((B47-C47)/($L$2*$L$3)+(D47)/$L$3)</f>
        <v>19.334367967279892</v>
      </c>
      <c r="D48">
        <f>MAX(0, MIN($L$5,$L$6*(20-C48)))</f>
        <v>3328.1601636005398</v>
      </c>
      <c r="E48">
        <f>(B48-C48)/$L$2</f>
        <v>-3573.7471869119568</v>
      </c>
      <c r="F48">
        <f t="shared" si="0"/>
        <v>13328.16016360054</v>
      </c>
      <c r="G48">
        <f t="shared" si="1"/>
        <v>13.32816016360054</v>
      </c>
      <c r="H48">
        <f t="shared" si="2"/>
        <v>627.4672539722394</v>
      </c>
    </row>
    <row r="49" spans="1:8" x14ac:dyDescent="0.35">
      <c r="A49" t="s">
        <v>49</v>
      </c>
      <c r="B49">
        <v>10.9</v>
      </c>
      <c r="C49" s="1">
        <f>C48+$L$4*((B48-C48)/($L$2*$L$3)+(D48)/$L$3)</f>
        <v>19.32552683444068</v>
      </c>
      <c r="D49">
        <f>MAX(0, MIN($L$5,$L$6*(20-C49)))</f>
        <v>3372.3658277965997</v>
      </c>
      <c r="E49">
        <f>(B49-C49)/$L$2</f>
        <v>-3370.2107337762718</v>
      </c>
      <c r="F49">
        <f t="shared" si="0"/>
        <v>13372.365827796599</v>
      </c>
      <c r="G49">
        <f t="shared" si="1"/>
        <v>13.3723658277966</v>
      </c>
      <c r="H49">
        <f t="shared" si="2"/>
        <v>640.83961980003596</v>
      </c>
    </row>
    <row r="50" spans="1:8" x14ac:dyDescent="0.35">
      <c r="A50" t="s">
        <v>50</v>
      </c>
      <c r="B50">
        <v>10.7</v>
      </c>
      <c r="C50" s="1">
        <f>C49+$L$4*((B49-C49)/($L$2*$L$3)+(D49)/$L$3)</f>
        <v>19.325604417825414</v>
      </c>
      <c r="D50">
        <f>MAX(0, MIN($L$5,$L$6*(20-C50)))</f>
        <v>3371.9779108729322</v>
      </c>
      <c r="E50">
        <f>(B50-C50)/$L$2</f>
        <v>-3450.2417671301655</v>
      </c>
      <c r="F50">
        <f t="shared" si="0"/>
        <v>13371.977910872933</v>
      </c>
      <c r="G50">
        <f t="shared" si="1"/>
        <v>13.371977910872932</v>
      </c>
      <c r="H50">
        <f t="shared" si="2"/>
        <v>654.2115977109089</v>
      </c>
    </row>
    <row r="51" spans="1:8" x14ac:dyDescent="0.35">
      <c r="A51" t="s">
        <v>51</v>
      </c>
      <c r="B51">
        <v>11.1</v>
      </c>
      <c r="C51" s="1">
        <f>C50+$L$4*((B50-C50)/($L$2*$L$3)+(D50)/$L$3)</f>
        <v>19.322786919000155</v>
      </c>
      <c r="D51">
        <f>MAX(0, MIN($L$5,$L$6*(20-C51)))</f>
        <v>3386.0654049992254</v>
      </c>
      <c r="E51">
        <f>(B51-C51)/$L$2</f>
        <v>-3289.1147676000619</v>
      </c>
      <c r="F51">
        <f t="shared" si="0"/>
        <v>13386.065404999226</v>
      </c>
      <c r="G51">
        <f t="shared" si="1"/>
        <v>13.386065404999226</v>
      </c>
      <c r="H51">
        <f t="shared" si="2"/>
        <v>667.59766311590818</v>
      </c>
    </row>
    <row r="52" spans="1:8" x14ac:dyDescent="0.35">
      <c r="A52" t="s">
        <v>52</v>
      </c>
      <c r="B52">
        <v>10.7</v>
      </c>
      <c r="C52" s="1">
        <f>C51+$L$4*((B51-C51)/($L$2*$L$3)+(D51)/$L$3)</f>
        <v>19.326277141946523</v>
      </c>
      <c r="D52">
        <f>MAX(0, MIN($L$5,$L$6*(20-C52)))</f>
        <v>3368.6142902673841</v>
      </c>
      <c r="E52">
        <f>(B52-C52)/$L$2</f>
        <v>-3450.5108567786097</v>
      </c>
      <c r="F52">
        <f t="shared" si="0"/>
        <v>13368.614290267384</v>
      </c>
      <c r="G52">
        <f t="shared" si="1"/>
        <v>13.368614290267384</v>
      </c>
      <c r="H52">
        <f t="shared" si="2"/>
        <v>680.96627740617555</v>
      </c>
    </row>
    <row r="53" spans="1:8" x14ac:dyDescent="0.35">
      <c r="A53" t="s">
        <v>53</v>
      </c>
      <c r="B53">
        <v>10.6</v>
      </c>
      <c r="C53" s="1">
        <f>C52+$L$4*((B52-C52)/($L$2*$L$3)+(D52)/$L$3)</f>
        <v>19.323328865552121</v>
      </c>
      <c r="D53">
        <f>MAX(0, MIN($L$5,$L$6*(20-C53)))</f>
        <v>3383.3556722393964</v>
      </c>
      <c r="E53">
        <f>(B53-C53)/$L$2</f>
        <v>-3489.3315462208484</v>
      </c>
      <c r="F53">
        <f t="shared" si="0"/>
        <v>13383.355672239397</v>
      </c>
      <c r="G53">
        <f t="shared" si="1"/>
        <v>13.383355672239396</v>
      </c>
      <c r="H53">
        <f t="shared" si="2"/>
        <v>694.34963307841497</v>
      </c>
    </row>
    <row r="54" spans="1:8" x14ac:dyDescent="0.35">
      <c r="A54" t="s">
        <v>54</v>
      </c>
      <c r="B54">
        <v>10.3</v>
      </c>
      <c r="C54" s="1">
        <f>C53+$L$4*((B53-C53)/($L$2*$L$3)+(D53)/$L$3)</f>
        <v>19.319513734088787</v>
      </c>
      <c r="D54">
        <f>MAX(0, MIN($L$5,$L$6*(20-C54)))</f>
        <v>3402.431329556066</v>
      </c>
      <c r="E54">
        <f>(B54-C54)/$L$2</f>
        <v>-3607.8054936355143</v>
      </c>
      <c r="F54">
        <f t="shared" si="0"/>
        <v>13402.431329556066</v>
      </c>
      <c r="G54">
        <f t="shared" si="1"/>
        <v>13.402431329556066</v>
      </c>
      <c r="H54">
        <f t="shared" si="2"/>
        <v>707.75206440797103</v>
      </c>
    </row>
    <row r="55" spans="1:8" x14ac:dyDescent="0.35">
      <c r="A55" t="s">
        <v>55</v>
      </c>
      <c r="B55">
        <v>9.5</v>
      </c>
      <c r="C55" s="1">
        <f>C54+$L$4*((B54-C54)/($L$2*$L$3)+(D54)/$L$3)</f>
        <v>19.312120264181928</v>
      </c>
      <c r="D55">
        <f>MAX(0, MIN($L$5,$L$6*(20-C55)))</f>
        <v>3439.3986790903596</v>
      </c>
      <c r="E55">
        <f>(B55-C55)/$L$2</f>
        <v>-3924.848105672771</v>
      </c>
      <c r="F55">
        <f t="shared" si="0"/>
        <v>13439.39867909036</v>
      </c>
      <c r="G55">
        <f t="shared" si="1"/>
        <v>13.43939867909036</v>
      </c>
      <c r="H55">
        <f t="shared" si="2"/>
        <v>721.19146308706138</v>
      </c>
    </row>
    <row r="56" spans="1:8" x14ac:dyDescent="0.35">
      <c r="A56" t="s">
        <v>56</v>
      </c>
      <c r="B56">
        <v>9.1</v>
      </c>
      <c r="C56" s="1">
        <f>C55+$L$4*((B55-C55)/($L$2*$L$3)+(D55)/$L$3)</f>
        <v>19.294644084824963</v>
      </c>
      <c r="D56">
        <f>MAX(0, MIN($L$5,$L$6*(20-C56)))</f>
        <v>3526.7795758751854</v>
      </c>
      <c r="E56">
        <f>(B56-C56)/$L$2</f>
        <v>-4077.8576339299852</v>
      </c>
      <c r="F56">
        <f t="shared" si="0"/>
        <v>13526.779575875185</v>
      </c>
      <c r="G56">
        <f t="shared" si="1"/>
        <v>13.526779575875185</v>
      </c>
      <c r="H56">
        <f t="shared" si="2"/>
        <v>734.71824266293652</v>
      </c>
    </row>
    <row r="57" spans="1:8" x14ac:dyDescent="0.35">
      <c r="A57" t="s">
        <v>57</v>
      </c>
      <c r="B57">
        <v>8.8000000000000007</v>
      </c>
      <c r="C57" s="1">
        <f>C56+$L$4*((B56-C56)/($L$2*$L$3)+(D56)/$L$3)</f>
        <v>19.274805274734991</v>
      </c>
      <c r="D57">
        <f>MAX(0, MIN($L$5,$L$6*(20-C57)))</f>
        <v>3625.9736263250452</v>
      </c>
      <c r="E57">
        <f>(B57-C57)/$L$2</f>
        <v>-4189.9221098939961</v>
      </c>
      <c r="F57">
        <f t="shared" si="0"/>
        <v>13625.973626325045</v>
      </c>
      <c r="G57">
        <f t="shared" si="1"/>
        <v>13.625973626325045</v>
      </c>
      <c r="H57">
        <f t="shared" si="2"/>
        <v>748.34421628926157</v>
      </c>
    </row>
    <row r="58" spans="1:8" x14ac:dyDescent="0.35">
      <c r="A58" t="s">
        <v>58</v>
      </c>
      <c r="B58">
        <v>9</v>
      </c>
      <c r="C58" s="1">
        <f>C57+$L$4*((B57-C57)/($L$2*$L$3)+(D57)/$L$3)</f>
        <v>19.254503129326508</v>
      </c>
      <c r="D58">
        <f>MAX(0, MIN($L$5,$L$6*(20-C58)))</f>
        <v>3727.4843533674584</v>
      </c>
      <c r="E58">
        <f>(B58-C58)/$L$2</f>
        <v>-4101.8012517306033</v>
      </c>
      <c r="F58">
        <f t="shared" si="0"/>
        <v>13727.484353367458</v>
      </c>
      <c r="G58">
        <f t="shared" si="1"/>
        <v>13.727484353367457</v>
      </c>
      <c r="H58">
        <f t="shared" si="2"/>
        <v>762.07170064262903</v>
      </c>
    </row>
    <row r="59" spans="1:8" x14ac:dyDescent="0.35">
      <c r="A59" t="s">
        <v>59</v>
      </c>
      <c r="B59">
        <v>9.1</v>
      </c>
      <c r="C59" s="1">
        <f>C58+$L$4*((B58-C58)/($L$2*$L$3)+(D58)/$L$3)</f>
        <v>19.241027720985436</v>
      </c>
      <c r="D59">
        <f>MAX(0, MIN($L$5,$L$6*(20-C59)))</f>
        <v>3794.8613950728218</v>
      </c>
      <c r="E59">
        <f>(B59-C59)/$L$2</f>
        <v>-4056.4110883941744</v>
      </c>
      <c r="F59">
        <f t="shared" si="0"/>
        <v>13794.861395072821</v>
      </c>
      <c r="G59">
        <f t="shared" si="1"/>
        <v>13.794861395072822</v>
      </c>
      <c r="H59">
        <f t="shared" si="2"/>
        <v>775.8665620377019</v>
      </c>
    </row>
    <row r="60" spans="1:8" x14ac:dyDescent="0.35">
      <c r="A60" t="s">
        <v>60</v>
      </c>
      <c r="B60">
        <v>9.9</v>
      </c>
      <c r="C60" s="1">
        <f>C59+$L$4*((B59-C59)/($L$2*$L$3)+(D59)/$L$3)</f>
        <v>19.231611932025867</v>
      </c>
      <c r="D60">
        <f>MAX(0, MIN($L$5,$L$6*(20-C60)))</f>
        <v>3841.940339870664</v>
      </c>
      <c r="E60">
        <f>(B60-C60)/$L$2</f>
        <v>-3732.6447728103467</v>
      </c>
      <c r="F60">
        <f t="shared" si="0"/>
        <v>13841.940339870664</v>
      </c>
      <c r="G60">
        <f t="shared" si="1"/>
        <v>13.841940339870664</v>
      </c>
      <c r="H60">
        <f t="shared" si="2"/>
        <v>789.70850237757259</v>
      </c>
    </row>
    <row r="61" spans="1:8" x14ac:dyDescent="0.35">
      <c r="A61" t="s">
        <v>61</v>
      </c>
      <c r="B61">
        <v>10.1</v>
      </c>
      <c r="C61" s="1">
        <f>C60+$L$4*((B60-C60)/($L$2*$L$3)+(D60)/$L$3)</f>
        <v>19.23554657244004</v>
      </c>
      <c r="D61">
        <f>MAX(0, MIN($L$5,$L$6*(20-C61)))</f>
        <v>3822.2671377998017</v>
      </c>
      <c r="E61">
        <f>(B61-C61)/$L$2</f>
        <v>-3654.2186289760161</v>
      </c>
      <c r="F61">
        <f t="shared" si="0"/>
        <v>13822.267137799801</v>
      </c>
      <c r="G61">
        <f t="shared" si="1"/>
        <v>13.822267137799802</v>
      </c>
      <c r="H61">
        <f t="shared" si="2"/>
        <v>803.53076951537241</v>
      </c>
    </row>
    <row r="62" spans="1:8" x14ac:dyDescent="0.35">
      <c r="A62" t="s">
        <v>62</v>
      </c>
      <c r="B62">
        <v>10.7</v>
      </c>
      <c r="C62" s="1">
        <f>C61+$L$4*((B61-C61)/($L$2*$L$3)+(D61)/$L$3)</f>
        <v>19.241596318757697</v>
      </c>
      <c r="D62">
        <f>MAX(0, MIN($L$5,$L$6*(20-C62)))</f>
        <v>3792.018406211515</v>
      </c>
      <c r="E62">
        <f>(B62-C62)/$L$2</f>
        <v>-3416.6385275030789</v>
      </c>
      <c r="F62">
        <f t="shared" si="0"/>
        <v>13792.018406211515</v>
      </c>
      <c r="G62">
        <f t="shared" si="1"/>
        <v>13.792018406211515</v>
      </c>
      <c r="H62">
        <f t="shared" si="2"/>
        <v>817.32278792158388</v>
      </c>
    </row>
    <row r="63" spans="1:8" x14ac:dyDescent="0.35">
      <c r="A63" t="s">
        <v>63</v>
      </c>
      <c r="B63">
        <v>11.2</v>
      </c>
      <c r="C63" s="1">
        <f>C62+$L$4*((B62-C62)/($L$2*$L$3)+(D62)/$L$3)</f>
        <v>19.255109994391201</v>
      </c>
      <c r="D63">
        <f>MAX(0, MIN($L$5,$L$6*(20-C63)))</f>
        <v>3724.4500280439929</v>
      </c>
      <c r="E63">
        <f>(B63-C63)/$L$2</f>
        <v>-3222.0439977564806</v>
      </c>
      <c r="F63">
        <f t="shared" si="0"/>
        <v>13724.450028043993</v>
      </c>
      <c r="G63">
        <f t="shared" si="1"/>
        <v>13.724450028043993</v>
      </c>
      <c r="H63">
        <f t="shared" si="2"/>
        <v>831.04723794962786</v>
      </c>
    </row>
    <row r="64" spans="1:8" x14ac:dyDescent="0.35">
      <c r="A64" t="s">
        <v>64</v>
      </c>
      <c r="B64">
        <v>11.7</v>
      </c>
      <c r="C64" s="1">
        <f>C63+$L$4*((B63-C63)/($L$2*$L$3)+(D63)/$L$3)</f>
        <v>19.273196611481552</v>
      </c>
      <c r="D64">
        <f>MAX(0, MIN($L$5,$L$6*(20-C64)))</f>
        <v>3634.0169425922395</v>
      </c>
      <c r="E64">
        <f>(B64-C64)/$L$2</f>
        <v>-3029.2786445926208</v>
      </c>
      <c r="F64">
        <f t="shared" si="0"/>
        <v>13634.01694259224</v>
      </c>
      <c r="G64">
        <f t="shared" si="1"/>
        <v>13.63401694259224</v>
      </c>
      <c r="H64">
        <f t="shared" si="2"/>
        <v>844.68125489222007</v>
      </c>
    </row>
    <row r="65" spans="1:8" x14ac:dyDescent="0.35">
      <c r="A65" t="s">
        <v>65</v>
      </c>
      <c r="B65">
        <v>12.9</v>
      </c>
      <c r="C65" s="1">
        <f>C64+$L$4*((B64-C64)/($L$2*$L$3)+(D64)/$L$3)</f>
        <v>19.294967190209537</v>
      </c>
      <c r="D65">
        <f>MAX(0, MIN($L$5,$L$6*(20-C65)))</f>
        <v>3525.1640489523161</v>
      </c>
      <c r="E65">
        <f>(B65-C65)/$L$2</f>
        <v>-2557.9868760838144</v>
      </c>
      <c r="F65">
        <f t="shared" si="0"/>
        <v>13525.164048952316</v>
      </c>
      <c r="G65">
        <f t="shared" si="1"/>
        <v>13.525164048952316</v>
      </c>
      <c r="H65">
        <f t="shared" si="2"/>
        <v>858.20641894117239</v>
      </c>
    </row>
    <row r="66" spans="1:8" x14ac:dyDescent="0.35">
      <c r="A66" t="s">
        <v>66</v>
      </c>
      <c r="B66">
        <v>12.7</v>
      </c>
      <c r="C66" s="1">
        <f>C65+$L$4*((B65-C65)/($L$2*$L$3)+(D65)/$L$3)</f>
        <v>19.329785568432804</v>
      </c>
      <c r="D66">
        <f>MAX(0, MIN($L$5,$L$6*(20-C66)))</f>
        <v>3351.0721578359794</v>
      </c>
      <c r="E66">
        <f>(B66-C66)/$L$2</f>
        <v>-2651.9142273731218</v>
      </c>
      <c r="F66">
        <f t="shared" si="0"/>
        <v>13351.072157835979</v>
      </c>
      <c r="G66">
        <f t="shared" si="1"/>
        <v>13.351072157835979</v>
      </c>
      <c r="H66">
        <f t="shared" si="2"/>
        <v>871.55749109900842</v>
      </c>
    </row>
    <row r="67" spans="1:8" x14ac:dyDescent="0.35">
      <c r="A67" t="s">
        <v>67</v>
      </c>
      <c r="B67">
        <v>12.4</v>
      </c>
      <c r="C67" s="1">
        <f>C66+$L$4*((B66-C66)/($L$2*$L$3)+(D66)/$L$3)</f>
        <v>19.354955253929468</v>
      </c>
      <c r="D67">
        <f>MAX(0, MIN($L$5,$L$6*(20-C67)))</f>
        <v>3225.2237303526599</v>
      </c>
      <c r="E67">
        <f>(B67-C67)/$L$2</f>
        <v>-2781.9821015717871</v>
      </c>
      <c r="F67">
        <f t="shared" ref="F67:F121" si="3">10000+D67</f>
        <v>13225.22373035266</v>
      </c>
      <c r="G67">
        <f t="shared" ref="G67:G121" si="4">F67/1000</f>
        <v>13.22522373035266</v>
      </c>
      <c r="H67">
        <f t="shared" si="2"/>
        <v>884.78271482936111</v>
      </c>
    </row>
    <row r="68" spans="1:8" x14ac:dyDescent="0.35">
      <c r="A68" t="s">
        <v>68</v>
      </c>
      <c r="B68">
        <v>12.4</v>
      </c>
      <c r="C68" s="1">
        <f>C67+$L$4*((B67-C67)/($L$2*$L$3)+(D67)/$L$3)</f>
        <v>19.370911952565578</v>
      </c>
      <c r="D68">
        <f>MAX(0, MIN($L$5,$L$6*(20-C68)))</f>
        <v>3145.4402371721103</v>
      </c>
      <c r="E68">
        <f>(B68-C68)/$L$2</f>
        <v>-2788.364781026231</v>
      </c>
      <c r="F68">
        <f t="shared" si="3"/>
        <v>13145.44023717211</v>
      </c>
      <c r="G68">
        <f t="shared" si="4"/>
        <v>13.14544023717211</v>
      </c>
      <c r="H68">
        <f t="shared" ref="H68:H121" si="5">H67+G68</f>
        <v>897.92815506653324</v>
      </c>
    </row>
    <row r="69" spans="1:8" x14ac:dyDescent="0.35">
      <c r="A69" t="s">
        <v>69</v>
      </c>
      <c r="B69">
        <v>12.3</v>
      </c>
      <c r="C69" s="1">
        <f>C68+$L$4*((B68-C68)/($L$2*$L$3)+(D68)/$L$3)</f>
        <v>19.38376666898683</v>
      </c>
      <c r="D69">
        <f>MAX(0, MIN($L$5,$L$6*(20-C69)))</f>
        <v>3081.1666550658501</v>
      </c>
      <c r="E69">
        <f>(B69-C69)/$L$2</f>
        <v>-2833.5066675947314</v>
      </c>
      <c r="F69">
        <f t="shared" si="3"/>
        <v>13081.16665506585</v>
      </c>
      <c r="G69">
        <f t="shared" si="4"/>
        <v>13.08116665506585</v>
      </c>
      <c r="H69">
        <f t="shared" si="5"/>
        <v>911.00932172159912</v>
      </c>
    </row>
    <row r="70" spans="1:8" x14ac:dyDescent="0.35">
      <c r="A70" t="s">
        <v>70</v>
      </c>
      <c r="B70">
        <v>12</v>
      </c>
      <c r="C70" s="1">
        <f>C69+$L$4*((B69-C69)/($L$2*$L$3)+(D69)/$L$3)</f>
        <v>19.392682428535789</v>
      </c>
      <c r="D70">
        <f>MAX(0, MIN($L$5,$L$6*(20-C70)))</f>
        <v>3036.5878573210557</v>
      </c>
      <c r="E70">
        <f>(B70-C70)/$L$2</f>
        <v>-2957.0729714143154</v>
      </c>
      <c r="F70">
        <f t="shared" si="3"/>
        <v>13036.587857321056</v>
      </c>
      <c r="G70">
        <f t="shared" si="4"/>
        <v>13.036587857321056</v>
      </c>
      <c r="H70">
        <f t="shared" si="5"/>
        <v>924.04590957892015</v>
      </c>
    </row>
    <row r="71" spans="1:8" x14ac:dyDescent="0.35">
      <c r="A71" t="s">
        <v>71</v>
      </c>
      <c r="B71">
        <v>11.5</v>
      </c>
      <c r="C71" s="1">
        <f>C70+$L$4*((B70-C70)/($L$2*$L$3)+(D70)/$L$3)</f>
        <v>19.395544964428431</v>
      </c>
      <c r="D71">
        <f>MAX(0, MIN($L$5,$L$6*(20-C71)))</f>
        <v>3022.2751778578427</v>
      </c>
      <c r="E71">
        <f>(B71-C71)/$L$2</f>
        <v>-3158.2179857713727</v>
      </c>
      <c r="F71">
        <f t="shared" si="3"/>
        <v>13022.275177857842</v>
      </c>
      <c r="G71">
        <f t="shared" si="4"/>
        <v>13.022275177857843</v>
      </c>
      <c r="H71">
        <f t="shared" si="5"/>
        <v>937.06818475677801</v>
      </c>
    </row>
    <row r="72" spans="1:8" x14ac:dyDescent="0.35">
      <c r="A72" t="s">
        <v>72</v>
      </c>
      <c r="B72">
        <v>11.2</v>
      </c>
      <c r="C72" s="1">
        <f>C71+$L$4*((B71-C71)/($L$2*$L$3)+(D71)/$L$3)</f>
        <v>19.390651023343544</v>
      </c>
      <c r="D72">
        <f>MAX(0, MIN($L$5,$L$6*(20-C72)))</f>
        <v>3046.7448832822797</v>
      </c>
      <c r="E72">
        <f>(B72-C72)/$L$2</f>
        <v>-3276.260409337418</v>
      </c>
      <c r="F72">
        <f t="shared" si="3"/>
        <v>13046.744883282279</v>
      </c>
      <c r="G72">
        <f t="shared" si="4"/>
        <v>13.04674488328228</v>
      </c>
      <c r="H72">
        <f t="shared" si="5"/>
        <v>950.11492964006027</v>
      </c>
    </row>
    <row r="73" spans="1:8" x14ac:dyDescent="0.35">
      <c r="A73" t="s">
        <v>73</v>
      </c>
      <c r="B73">
        <v>11.2</v>
      </c>
      <c r="C73" s="1">
        <f>C72+$L$4*((B72-C72)/($L$2*$L$3)+(D72)/$L$3)</f>
        <v>19.382388464405558</v>
      </c>
      <c r="D73">
        <f>MAX(0, MIN($L$5,$L$6*(20-C73)))</f>
        <v>3088.0576779722091</v>
      </c>
      <c r="E73">
        <f>(B73-C73)/$L$2</f>
        <v>-3272.9553857622236</v>
      </c>
      <c r="F73">
        <f t="shared" si="3"/>
        <v>13088.057677972209</v>
      </c>
      <c r="G73">
        <f t="shared" si="4"/>
        <v>13.088057677972209</v>
      </c>
      <c r="H73">
        <f t="shared" si="5"/>
        <v>963.20298731803246</v>
      </c>
    </row>
    <row r="74" spans="1:8" x14ac:dyDescent="0.35">
      <c r="A74" t="s">
        <v>74</v>
      </c>
      <c r="B74">
        <v>10.6</v>
      </c>
      <c r="C74" s="1">
        <f>C73+$L$4*((B73-C73)/($L$2*$L$3)+(D73)/$L$3)</f>
        <v>19.375732146925117</v>
      </c>
      <c r="D74">
        <f>MAX(0, MIN($L$5,$L$6*(20-C74)))</f>
        <v>3121.3392653744168</v>
      </c>
      <c r="E74">
        <f>(B74-C74)/$L$2</f>
        <v>-3510.2928587700467</v>
      </c>
      <c r="F74">
        <f t="shared" si="3"/>
        <v>13121.339265374416</v>
      </c>
      <c r="G74">
        <f t="shared" si="4"/>
        <v>13.121339265374417</v>
      </c>
      <c r="H74">
        <f t="shared" si="5"/>
        <v>976.3243265834069</v>
      </c>
    </row>
    <row r="75" spans="1:8" x14ac:dyDescent="0.35">
      <c r="A75" t="s">
        <v>75</v>
      </c>
      <c r="B75">
        <v>10.7</v>
      </c>
      <c r="C75" s="1">
        <f>C74+$L$4*((B74-C74)/($L$2*$L$3)+(D74)/$L$3)</f>
        <v>19.361729817562875</v>
      </c>
      <c r="D75">
        <f>MAX(0, MIN($L$5,$L$6*(20-C75)))</f>
        <v>3191.3509121856264</v>
      </c>
      <c r="E75">
        <f>(B75-C75)/$L$2</f>
        <v>-3464.6919270251501</v>
      </c>
      <c r="F75">
        <f t="shared" si="3"/>
        <v>13191.350912185626</v>
      </c>
      <c r="G75">
        <f t="shared" si="4"/>
        <v>13.191350912185626</v>
      </c>
      <c r="H75">
        <f t="shared" si="5"/>
        <v>989.51567749559251</v>
      </c>
    </row>
    <row r="76" spans="1:8" x14ac:dyDescent="0.35">
      <c r="A76" t="s">
        <v>76</v>
      </c>
      <c r="B76">
        <v>10.4</v>
      </c>
      <c r="C76" s="1">
        <f>C75+$L$4*((B75-C75)/($L$2*$L$3)+(D75)/$L$3)</f>
        <v>19.351889541028651</v>
      </c>
      <c r="D76">
        <f>MAX(0, MIN($L$5,$L$6*(20-C76)))</f>
        <v>3240.5522948567445</v>
      </c>
      <c r="E76">
        <f>(B76-C76)/$L$2</f>
        <v>-3580.7558164114603</v>
      </c>
      <c r="F76">
        <f t="shared" si="3"/>
        <v>13240.552294856745</v>
      </c>
      <c r="G76">
        <f t="shared" si="4"/>
        <v>13.240552294856744</v>
      </c>
      <c r="H76">
        <f t="shared" si="5"/>
        <v>1002.7562297904493</v>
      </c>
    </row>
    <row r="77" spans="1:8" x14ac:dyDescent="0.35">
      <c r="A77" t="s">
        <v>77</v>
      </c>
      <c r="B77">
        <v>10.3</v>
      </c>
      <c r="C77" s="1">
        <f>C76+$L$4*((B76-C76)/($L$2*$L$3)+(D76)/$L$3)</f>
        <v>19.339642214252681</v>
      </c>
      <c r="D77">
        <f>MAX(0, MIN($L$5,$L$6*(20-C77)))</f>
        <v>3301.7889287365952</v>
      </c>
      <c r="E77">
        <f>(B77-C77)/$L$2</f>
        <v>-3615.8568857010719</v>
      </c>
      <c r="F77">
        <f t="shared" si="3"/>
        <v>13301.788928736594</v>
      </c>
      <c r="G77">
        <f t="shared" si="4"/>
        <v>13.301788928736594</v>
      </c>
      <c r="H77">
        <f t="shared" si="5"/>
        <v>1016.058018719186</v>
      </c>
    </row>
    <row r="78" spans="1:8" x14ac:dyDescent="0.35">
      <c r="A78" t="s">
        <v>78</v>
      </c>
      <c r="B78">
        <v>10.1</v>
      </c>
      <c r="C78" s="1">
        <f>C77+$L$4*((B77-C77)/($L$2*$L$3)+(D77)/$L$3)</f>
        <v>19.32833576780196</v>
      </c>
      <c r="D78">
        <f>MAX(0, MIN($L$5,$L$6*(20-C78)))</f>
        <v>3358.321160990201</v>
      </c>
      <c r="E78">
        <f>(B78-C78)/$L$2</f>
        <v>-3691.3343071207842</v>
      </c>
      <c r="F78">
        <f t="shared" si="3"/>
        <v>13358.321160990201</v>
      </c>
      <c r="G78">
        <f t="shared" si="4"/>
        <v>13.358321160990201</v>
      </c>
      <c r="H78">
        <f t="shared" si="5"/>
        <v>1029.4163398801761</v>
      </c>
    </row>
    <row r="79" spans="1:8" x14ac:dyDescent="0.35">
      <c r="A79" t="s">
        <v>79</v>
      </c>
      <c r="B79">
        <v>9.3000000000000007</v>
      </c>
      <c r="C79" s="1">
        <f>C78+$L$4*((B78-C78)/($L$2*$L$3)+(D78)/$L$3)</f>
        <v>19.316347294541259</v>
      </c>
      <c r="D79">
        <f>MAX(0, MIN($L$5,$L$6*(20-C79)))</f>
        <v>3418.2635272937032</v>
      </c>
      <c r="E79">
        <f>(B79-C79)/$L$2</f>
        <v>-4006.5389178165033</v>
      </c>
      <c r="F79">
        <f t="shared" si="3"/>
        <v>13418.263527293704</v>
      </c>
      <c r="G79">
        <f t="shared" si="4"/>
        <v>13.418263527293703</v>
      </c>
      <c r="H79">
        <f t="shared" si="5"/>
        <v>1042.8346034074698</v>
      </c>
    </row>
    <row r="80" spans="1:8" x14ac:dyDescent="0.35">
      <c r="A80" t="s">
        <v>80</v>
      </c>
      <c r="B80">
        <v>8.6</v>
      </c>
      <c r="C80" s="1">
        <f>C79+$L$4*((B79-C79)/($L$2*$L$3)+(D79)/$L$3)</f>
        <v>19.295169380482438</v>
      </c>
      <c r="D80">
        <f>MAX(0, MIN($L$5,$L$6*(20-C80)))</f>
        <v>3524.15309758781</v>
      </c>
      <c r="E80">
        <f>(B80-C80)/$L$2</f>
        <v>-4278.0677521929756</v>
      </c>
      <c r="F80">
        <f t="shared" si="3"/>
        <v>13524.15309758781</v>
      </c>
      <c r="G80">
        <f t="shared" si="4"/>
        <v>13.52415309758781</v>
      </c>
      <c r="H80">
        <f t="shared" si="5"/>
        <v>1056.3587565050575</v>
      </c>
    </row>
    <row r="81" spans="1:8" x14ac:dyDescent="0.35">
      <c r="A81" t="s">
        <v>81</v>
      </c>
      <c r="B81">
        <v>8.9</v>
      </c>
      <c r="C81" s="1">
        <f>C80+$L$4*((B80-C80)/($L$2*$L$3)+(D80)/$L$3)</f>
        <v>19.268028452916653</v>
      </c>
      <c r="D81">
        <f>MAX(0, MIN($L$5,$L$6*(20-C81)))</f>
        <v>3659.857735416736</v>
      </c>
      <c r="E81">
        <f>(B81-C81)/$L$2</f>
        <v>-4147.2113811666604</v>
      </c>
      <c r="F81">
        <f t="shared" si="3"/>
        <v>13659.857735416736</v>
      </c>
      <c r="G81">
        <f t="shared" si="4"/>
        <v>13.659857735416736</v>
      </c>
      <c r="H81">
        <f t="shared" si="5"/>
        <v>1070.0186142404743</v>
      </c>
    </row>
    <row r="82" spans="1:8" x14ac:dyDescent="0.35">
      <c r="A82" t="s">
        <v>82</v>
      </c>
      <c r="B82">
        <v>8.9</v>
      </c>
      <c r="C82" s="1">
        <f>C81+$L$4*((B81-C81)/($L$2*$L$3)+(D81)/$L$3)</f>
        <v>19.250483721669656</v>
      </c>
      <c r="D82">
        <f>MAX(0, MIN($L$5,$L$6*(20-C82)))</f>
        <v>3747.5813916517177</v>
      </c>
      <c r="E82">
        <f>(B82-C82)/$L$2</f>
        <v>-4140.1934886678628</v>
      </c>
      <c r="F82">
        <f t="shared" si="3"/>
        <v>13747.581391651718</v>
      </c>
      <c r="G82">
        <f t="shared" si="4"/>
        <v>13.747581391651718</v>
      </c>
      <c r="H82">
        <f t="shared" si="5"/>
        <v>1083.766195632126</v>
      </c>
    </row>
    <row r="83" spans="1:8" x14ac:dyDescent="0.35">
      <c r="A83" t="s">
        <v>83</v>
      </c>
      <c r="B83">
        <v>9.1</v>
      </c>
      <c r="C83" s="1">
        <f>C82+$L$4*((B82-C82)/($L$2*$L$3)+(D82)/$L$3)</f>
        <v>19.236349686177075</v>
      </c>
      <c r="D83">
        <f>MAX(0, MIN($L$5,$L$6*(20-C83)))</f>
        <v>3818.2515691146259</v>
      </c>
      <c r="E83">
        <f>(B83-C83)/$L$2</f>
        <v>-4054.53987447083</v>
      </c>
      <c r="F83">
        <f t="shared" si="3"/>
        <v>13818.251569114625</v>
      </c>
      <c r="G83">
        <f t="shared" si="4"/>
        <v>13.818251569114626</v>
      </c>
      <c r="H83">
        <f t="shared" si="5"/>
        <v>1097.5844472012407</v>
      </c>
    </row>
    <row r="84" spans="1:8" x14ac:dyDescent="0.35">
      <c r="A84" t="s">
        <v>84</v>
      </c>
      <c r="B84">
        <v>9.4</v>
      </c>
      <c r="C84" s="1">
        <f>C83+$L$4*((B83-C83)/($L$2*$L$3)+(D83)/$L$3)</f>
        <v>19.227843307184251</v>
      </c>
      <c r="D84">
        <f>MAX(0, MIN($L$5,$L$6*(20-C84)))</f>
        <v>3860.7834640787432</v>
      </c>
      <c r="E84">
        <f>(B84-C84)/$L$2</f>
        <v>-3931.1373228737002</v>
      </c>
      <c r="F84">
        <f t="shared" si="3"/>
        <v>13860.783464078744</v>
      </c>
      <c r="G84">
        <f t="shared" si="4"/>
        <v>13.860783464078745</v>
      </c>
      <c r="H84">
        <f t="shared" si="5"/>
        <v>1111.4452306653195</v>
      </c>
    </row>
    <row r="85" spans="1:8" x14ac:dyDescent="0.35">
      <c r="A85" t="s">
        <v>85</v>
      </c>
      <c r="B85">
        <v>9.5</v>
      </c>
      <c r="C85" s="1">
        <f>C84+$L$4*((B84-C84)/($L$2*$L$3)+(D84)/$L$3)</f>
        <v>19.225310568267634</v>
      </c>
      <c r="D85">
        <f>MAX(0, MIN($L$5,$L$6*(20-C85)))</f>
        <v>3873.4471586618292</v>
      </c>
      <c r="E85">
        <f>(B85-C85)/$L$2</f>
        <v>-3890.1242273070534</v>
      </c>
      <c r="F85">
        <f t="shared" si="3"/>
        <v>13873.447158661829</v>
      </c>
      <c r="G85">
        <f t="shared" si="4"/>
        <v>13.873447158661829</v>
      </c>
      <c r="H85">
        <f t="shared" si="5"/>
        <v>1125.3186778239813</v>
      </c>
    </row>
    <row r="86" spans="1:8" x14ac:dyDescent="0.35">
      <c r="A86" t="s">
        <v>86</v>
      </c>
      <c r="B86">
        <v>10.3</v>
      </c>
      <c r="C86" s="1">
        <f>C85+$L$4*((B85-C85)/($L$2*$L$3)+(D85)/$L$3)</f>
        <v>19.224710193796405</v>
      </c>
      <c r="D86">
        <f>MAX(0, MIN($L$5,$L$6*(20-C86)))</f>
        <v>3876.4490310179767</v>
      </c>
      <c r="E86">
        <f>(B86-C86)/$L$2</f>
        <v>-3569.8840775185613</v>
      </c>
      <c r="F86">
        <f t="shared" si="3"/>
        <v>13876.449031017977</v>
      </c>
      <c r="G86">
        <f t="shared" si="4"/>
        <v>13.876449031017977</v>
      </c>
      <c r="H86">
        <f t="shared" si="5"/>
        <v>1139.1951268549992</v>
      </c>
    </row>
    <row r="87" spans="1:8" x14ac:dyDescent="0.35">
      <c r="A87" t="s">
        <v>87</v>
      </c>
      <c r="B87">
        <v>10.4</v>
      </c>
      <c r="C87" s="1">
        <f>C86+$L$4*((B86-C86)/($L$2*$L$3)+(D86)/$L$3)</f>
        <v>19.235746532122384</v>
      </c>
      <c r="D87">
        <f>MAX(0, MIN($L$5,$L$6*(20-C87)))</f>
        <v>3821.2673393880791</v>
      </c>
      <c r="E87">
        <f>(B87-C87)/$L$2</f>
        <v>-3534.2986128489533</v>
      </c>
      <c r="F87">
        <f t="shared" si="3"/>
        <v>13821.26733938808</v>
      </c>
      <c r="G87">
        <f t="shared" si="4"/>
        <v>13.821267339388079</v>
      </c>
      <c r="H87">
        <f t="shared" si="5"/>
        <v>1153.0163941943872</v>
      </c>
    </row>
    <row r="88" spans="1:8" x14ac:dyDescent="0.35">
      <c r="A88" t="s">
        <v>88</v>
      </c>
      <c r="B88">
        <v>10.4</v>
      </c>
      <c r="C88" s="1">
        <f>C87+$L$4*((B87-C87)/($L$2*$L$3)+(D87)/$L$3)</f>
        <v>19.246077406277792</v>
      </c>
      <c r="D88">
        <f>MAX(0, MIN($L$5,$L$6*(20-C88)))</f>
        <v>3769.6129686110426</v>
      </c>
      <c r="E88">
        <f>(B88-C88)/$L$2</f>
        <v>-3538.4309625111164</v>
      </c>
      <c r="F88">
        <f t="shared" si="3"/>
        <v>13769.612968611043</v>
      </c>
      <c r="G88">
        <f t="shared" si="4"/>
        <v>13.769612968611044</v>
      </c>
      <c r="H88">
        <f t="shared" si="5"/>
        <v>1166.7860071629982</v>
      </c>
    </row>
    <row r="89" spans="1:8" x14ac:dyDescent="0.35">
      <c r="A89" t="s">
        <v>89</v>
      </c>
      <c r="B89">
        <v>10.8</v>
      </c>
      <c r="C89" s="1">
        <f>C88+$L$4*((B88-C88)/($L$2*$L$3)+(D88)/$L$3)</f>
        <v>19.254399958497388</v>
      </c>
      <c r="D89">
        <f>MAX(0, MIN($L$5,$L$6*(20-C89)))</f>
        <v>3728.0002075130624</v>
      </c>
      <c r="E89">
        <f>(B89-C89)/$L$2</f>
        <v>-3381.7599833989548</v>
      </c>
      <c r="F89">
        <f t="shared" si="3"/>
        <v>13728.000207513061</v>
      </c>
      <c r="G89">
        <f t="shared" si="4"/>
        <v>13.728000207513061</v>
      </c>
      <c r="H89">
        <f t="shared" si="5"/>
        <v>1180.5140073705113</v>
      </c>
    </row>
    <row r="90" spans="1:8" x14ac:dyDescent="0.35">
      <c r="A90" t="s">
        <v>90</v>
      </c>
      <c r="B90">
        <v>10.6</v>
      </c>
      <c r="C90" s="1">
        <f>C89+$L$4*((B89-C89)/($L$2*$L$3)+(D89)/$L$3)</f>
        <v>19.266864606565495</v>
      </c>
      <c r="D90">
        <f>MAX(0, MIN($L$5,$L$6*(20-C90)))</f>
        <v>3665.6769671725265</v>
      </c>
      <c r="E90">
        <f>(B90-C90)/$L$2</f>
        <v>-3466.7458426261978</v>
      </c>
      <c r="F90">
        <f t="shared" si="3"/>
        <v>13665.676967172527</v>
      </c>
      <c r="G90">
        <f t="shared" si="4"/>
        <v>13.665676967172526</v>
      </c>
      <c r="H90">
        <f t="shared" si="5"/>
        <v>1194.1796843376837</v>
      </c>
    </row>
    <row r="91" spans="1:8" x14ac:dyDescent="0.35">
      <c r="A91" t="s">
        <v>91</v>
      </c>
      <c r="B91">
        <v>10.6</v>
      </c>
      <c r="C91" s="1">
        <f>C90+$L$4*((B90-C90)/($L$2*$L$3)+(D90)/$L$3)</f>
        <v>19.274026127049162</v>
      </c>
      <c r="D91">
        <f>MAX(0, MIN($L$5,$L$6*(20-C91)))</f>
        <v>3629.8693647541922</v>
      </c>
      <c r="E91">
        <f>(B91-C91)/$L$2</f>
        <v>-3469.6104508196645</v>
      </c>
      <c r="F91">
        <f t="shared" si="3"/>
        <v>13629.869364754191</v>
      </c>
      <c r="G91">
        <f t="shared" si="4"/>
        <v>13.629869364754191</v>
      </c>
      <c r="H91">
        <f t="shared" si="5"/>
        <v>1207.8095537024378</v>
      </c>
    </row>
    <row r="92" spans="1:8" x14ac:dyDescent="0.35">
      <c r="A92" t="s">
        <v>92</v>
      </c>
      <c r="B92">
        <v>10.3</v>
      </c>
      <c r="C92" s="1">
        <f>C91+$L$4*((B91-C91)/($L$2*$L$3)+(D91)/$L$3)</f>
        <v>19.279795447950804</v>
      </c>
      <c r="D92">
        <f>MAX(0, MIN($L$5,$L$6*(20-C92)))</f>
        <v>3601.0227602459822</v>
      </c>
      <c r="E92">
        <f>(B92-C92)/$L$2</f>
        <v>-3591.9181791803212</v>
      </c>
      <c r="F92">
        <f t="shared" si="3"/>
        <v>13601.022760245982</v>
      </c>
      <c r="G92">
        <f t="shared" si="4"/>
        <v>13.601022760245982</v>
      </c>
      <c r="H92">
        <f t="shared" si="5"/>
        <v>1221.4105764626838</v>
      </c>
    </row>
    <row r="93" spans="1:8" x14ac:dyDescent="0.35">
      <c r="A93" t="s">
        <v>93</v>
      </c>
      <c r="B93">
        <v>9.8000000000000007</v>
      </c>
      <c r="C93" s="1">
        <f>C92+$L$4*((B92-C92)/($L$2*$L$3)+(D92)/$L$3)</f>
        <v>19.280123212869167</v>
      </c>
      <c r="D93">
        <f>MAX(0, MIN($L$5,$L$6*(20-C93)))</f>
        <v>3599.3839356541635</v>
      </c>
      <c r="E93">
        <f>(B93-C93)/$L$2</f>
        <v>-3792.0492851476665</v>
      </c>
      <c r="F93">
        <f t="shared" si="3"/>
        <v>13599.383935654163</v>
      </c>
      <c r="G93">
        <f t="shared" si="4"/>
        <v>13.599383935654163</v>
      </c>
      <c r="H93">
        <f t="shared" si="5"/>
        <v>1235.0099603983381</v>
      </c>
    </row>
    <row r="94" spans="1:8" x14ac:dyDescent="0.35">
      <c r="A94" t="s">
        <v>94</v>
      </c>
      <c r="B94">
        <v>9.6</v>
      </c>
      <c r="C94" s="1">
        <f>C93+$L$4*((B93-C93)/($L$2*$L$3)+(D93)/$L$3)</f>
        <v>19.273187260287401</v>
      </c>
      <c r="D94">
        <f>MAX(0, MIN($L$5,$L$6*(20-C94)))</f>
        <v>3634.0636985629972</v>
      </c>
      <c r="E94">
        <f>(B94-C94)/$L$2</f>
        <v>-3869.2749041149605</v>
      </c>
      <c r="F94">
        <f t="shared" si="3"/>
        <v>13634.063698562997</v>
      </c>
      <c r="G94">
        <f t="shared" si="4"/>
        <v>13.634063698562997</v>
      </c>
      <c r="H94">
        <f t="shared" si="5"/>
        <v>1248.6440240969011</v>
      </c>
    </row>
    <row r="95" spans="1:8" x14ac:dyDescent="0.35">
      <c r="A95" t="s">
        <v>95</v>
      </c>
      <c r="B95">
        <v>9.5</v>
      </c>
      <c r="C95" s="1">
        <f>C94+$L$4*((B94-C94)/($L$2*$L$3)+(D94)/$L$3)</f>
        <v>19.264719656887529</v>
      </c>
      <c r="D95">
        <f>MAX(0, MIN($L$5,$L$6*(20-C95)))</f>
        <v>3676.4017155623565</v>
      </c>
      <c r="E95">
        <f>(B95-C95)/$L$2</f>
        <v>-3905.8878627550116</v>
      </c>
      <c r="F95">
        <f t="shared" si="3"/>
        <v>13676.401715562357</v>
      </c>
      <c r="G95">
        <f t="shared" si="4"/>
        <v>13.676401715562356</v>
      </c>
      <c r="H95">
        <f t="shared" si="5"/>
        <v>1262.3204258124636</v>
      </c>
    </row>
    <row r="96" spans="1:8" x14ac:dyDescent="0.35">
      <c r="A96" t="s">
        <v>96</v>
      </c>
      <c r="B96">
        <v>9.5</v>
      </c>
      <c r="C96" s="1">
        <f>C95+$L$4*((B95-C95)/($L$2*$L$3)+(D95)/$L$3)</f>
        <v>19.256458155588593</v>
      </c>
      <c r="D96">
        <f>MAX(0, MIN($L$5,$L$6*(20-C96)))</f>
        <v>3717.7092220570353</v>
      </c>
      <c r="E96">
        <f>(B96-C96)/$L$2</f>
        <v>-3902.5832622354369</v>
      </c>
      <c r="F96">
        <f t="shared" si="3"/>
        <v>13717.709222057036</v>
      </c>
      <c r="G96">
        <f t="shared" si="4"/>
        <v>13.717709222057035</v>
      </c>
      <c r="H96">
        <f t="shared" si="5"/>
        <v>1276.0381350345206</v>
      </c>
    </row>
    <row r="97" spans="1:8" x14ac:dyDescent="0.35">
      <c r="A97" t="s">
        <v>97</v>
      </c>
      <c r="B97">
        <v>9.1999999999999993</v>
      </c>
      <c r="C97" s="1">
        <f>C96+$L$4*((B96-C96)/($L$2*$L$3)+(D96)/$L$3)</f>
        <v>19.249802690142172</v>
      </c>
      <c r="D97">
        <f>MAX(0, MIN($L$5,$L$6*(20-C97)))</f>
        <v>3750.9865492891413</v>
      </c>
      <c r="E97">
        <f>(B97-C97)/$L$2</f>
        <v>-4019.921076056869</v>
      </c>
      <c r="F97">
        <f t="shared" si="3"/>
        <v>13750.98654928914</v>
      </c>
      <c r="G97">
        <f t="shared" si="4"/>
        <v>13.75098654928914</v>
      </c>
      <c r="H97">
        <f t="shared" si="5"/>
        <v>1289.7891215838097</v>
      </c>
    </row>
    <row r="98" spans="1:8" x14ac:dyDescent="0.35">
      <c r="A98" t="s">
        <v>98</v>
      </c>
      <c r="B98">
        <v>9.1</v>
      </c>
      <c r="C98" s="1">
        <f>C97+$L$4*((B97-C97)/($L$2*$L$3)+(D97)/$L$3)</f>
        <v>19.240121047178533</v>
      </c>
      <c r="D98">
        <f>MAX(0, MIN($L$5,$L$6*(20-C98)))</f>
        <v>3799.3947641073332</v>
      </c>
      <c r="E98">
        <f>(B98-C98)/$L$2</f>
        <v>-4056.0484188714136</v>
      </c>
      <c r="F98">
        <f t="shared" si="3"/>
        <v>13799.394764107334</v>
      </c>
      <c r="G98">
        <f t="shared" si="4"/>
        <v>13.799394764107333</v>
      </c>
      <c r="H98">
        <f t="shared" si="5"/>
        <v>1303.588516347917</v>
      </c>
    </row>
    <row r="99" spans="1:8" x14ac:dyDescent="0.35">
      <c r="A99" t="s">
        <v>99</v>
      </c>
      <c r="B99">
        <v>9.1</v>
      </c>
      <c r="C99" s="1">
        <f>C98+$L$4*((B98-C98)/($L$2*$L$3)+(D98)/$L$3)</f>
        <v>19.230881515607027</v>
      </c>
      <c r="D99">
        <f>MAX(0, MIN($L$5,$L$6*(20-C99)))</f>
        <v>3845.5924219648628</v>
      </c>
      <c r="E99">
        <f>(B99-C99)/$L$2</f>
        <v>-4052.3526062428109</v>
      </c>
      <c r="F99">
        <f t="shared" si="3"/>
        <v>13845.592421964862</v>
      </c>
      <c r="G99">
        <f t="shared" si="4"/>
        <v>13.845592421964863</v>
      </c>
      <c r="H99">
        <f t="shared" si="5"/>
        <v>1317.434108769882</v>
      </c>
    </row>
    <row r="100" spans="1:8" x14ac:dyDescent="0.35">
      <c r="A100" t="s">
        <v>100</v>
      </c>
      <c r="B100">
        <v>8.8000000000000007</v>
      </c>
      <c r="C100" s="1">
        <f>C99+$L$4*((B99-C99)/($L$2*$L$3)+(D99)/$L$3)</f>
        <v>19.22343814897302</v>
      </c>
      <c r="D100">
        <f>MAX(0, MIN($L$5,$L$6*(20-C100)))</f>
        <v>3882.8092551348982</v>
      </c>
      <c r="E100">
        <f>(B100-C100)/$L$2</f>
        <v>-4169.3752595892074</v>
      </c>
      <c r="F100">
        <f t="shared" si="3"/>
        <v>13882.809255134898</v>
      </c>
      <c r="G100">
        <f t="shared" si="4"/>
        <v>13.882809255134898</v>
      </c>
      <c r="H100">
        <f t="shared" si="5"/>
        <v>1331.3169180250168</v>
      </c>
    </row>
    <row r="101" spans="1:8" x14ac:dyDescent="0.35">
      <c r="A101" t="s">
        <v>101</v>
      </c>
      <c r="B101">
        <v>8.4</v>
      </c>
      <c r="C101" s="1">
        <f>C100+$L$4*((B100-C100)/($L$2*$L$3)+(D100)/$L$3)</f>
        <v>19.213121772812666</v>
      </c>
      <c r="D101">
        <f>MAX(0, MIN($L$5,$L$6*(20-C101)))</f>
        <v>3934.391135936668</v>
      </c>
      <c r="E101">
        <f>(B101-C101)/$L$2</f>
        <v>-4325.2487091250659</v>
      </c>
      <c r="F101">
        <f t="shared" si="3"/>
        <v>13934.391135936668</v>
      </c>
      <c r="G101">
        <f t="shared" si="4"/>
        <v>13.934391135936668</v>
      </c>
      <c r="H101">
        <f t="shared" si="5"/>
        <v>1345.2513091609535</v>
      </c>
    </row>
    <row r="102" spans="1:8" x14ac:dyDescent="0.35">
      <c r="A102" t="s">
        <v>102</v>
      </c>
      <c r="B102">
        <v>8.1999999999999993</v>
      </c>
      <c r="C102" s="1">
        <f>C101+$L$4*((B101-C101)/($L$2*$L$3)+(D101)/$L$3)</f>
        <v>19.199050900177884</v>
      </c>
      <c r="D102">
        <f>MAX(0, MIN($L$5,$L$6*(20-C102)))</f>
        <v>4004.7454991105801</v>
      </c>
      <c r="E102">
        <f>(B102-C102)/$L$2</f>
        <v>-4399.6203600711542</v>
      </c>
      <c r="F102">
        <f t="shared" si="3"/>
        <v>14004.745499110581</v>
      </c>
      <c r="G102">
        <f t="shared" si="4"/>
        <v>14.00474549911058</v>
      </c>
      <c r="H102">
        <f t="shared" si="5"/>
        <v>1359.2560546600641</v>
      </c>
    </row>
    <row r="103" spans="1:8" x14ac:dyDescent="0.35">
      <c r="A103" t="s">
        <v>103</v>
      </c>
      <c r="B103">
        <v>7.7</v>
      </c>
      <c r="C103" s="1">
        <f>C102+$L$4*((B102-C102)/($L$2*$L$3)+(D102)/$L$3)</f>
        <v>19.184835405183303</v>
      </c>
      <c r="D103">
        <f>MAX(0, MIN($L$5,$L$6*(20-C103)))</f>
        <v>4075.8229740834827</v>
      </c>
      <c r="E103">
        <f>(B103-C103)/$L$2</f>
        <v>-4593.9341620733212</v>
      </c>
      <c r="F103">
        <f t="shared" si="3"/>
        <v>14075.822974083483</v>
      </c>
      <c r="G103">
        <f t="shared" si="4"/>
        <v>14.075822974083483</v>
      </c>
      <c r="H103">
        <f t="shared" si="5"/>
        <v>1373.3318776341475</v>
      </c>
    </row>
    <row r="104" spans="1:8" x14ac:dyDescent="0.35">
      <c r="A104" t="s">
        <v>104</v>
      </c>
      <c r="B104">
        <v>7.8</v>
      </c>
      <c r="C104" s="1">
        <f>C103+$L$4*((B103-C103)/($L$2*$L$3)+(D103)/$L$3)</f>
        <v>19.166183402415669</v>
      </c>
      <c r="D104">
        <f>MAX(0, MIN($L$5,$L$6*(20-C104)))</f>
        <v>4169.0829879216553</v>
      </c>
      <c r="E104">
        <f>(B104-C104)/$L$2</f>
        <v>-4546.4733609662671</v>
      </c>
      <c r="F104">
        <f t="shared" si="3"/>
        <v>14169.082987921654</v>
      </c>
      <c r="G104">
        <f t="shared" si="4"/>
        <v>14.169082987921655</v>
      </c>
      <c r="H104">
        <f t="shared" si="5"/>
        <v>1387.5009606220692</v>
      </c>
    </row>
    <row r="105" spans="1:8" x14ac:dyDescent="0.35">
      <c r="A105" t="s">
        <v>105</v>
      </c>
      <c r="B105">
        <v>7.9</v>
      </c>
      <c r="C105" s="1">
        <f>C104+$L$4*((B104-C104)/($L$2*$L$3)+(D104)/$L$3)</f>
        <v>19.152597348986063</v>
      </c>
      <c r="D105">
        <f>MAX(0, MIN($L$5,$L$6*(20-C105)))</f>
        <v>4237.0132550696835</v>
      </c>
      <c r="E105">
        <f>(B105-C105)/$L$2</f>
        <v>-4501.0389395944248</v>
      </c>
      <c r="F105">
        <f t="shared" si="3"/>
        <v>14237.013255069684</v>
      </c>
      <c r="G105">
        <f t="shared" si="4"/>
        <v>14.237013255069684</v>
      </c>
      <c r="H105">
        <f t="shared" si="5"/>
        <v>1401.737973877139</v>
      </c>
    </row>
    <row r="106" spans="1:8" x14ac:dyDescent="0.35">
      <c r="A106" t="s">
        <v>106</v>
      </c>
      <c r="B106">
        <v>7.7</v>
      </c>
      <c r="C106" s="1">
        <f>C105+$L$4*((B105-C105)/($L$2*$L$3)+(D105)/$L$3)</f>
        <v>19.143092424343173</v>
      </c>
      <c r="D106">
        <f>MAX(0, MIN($L$5,$L$6*(20-C106)))</f>
        <v>4284.5378782841335</v>
      </c>
      <c r="E106">
        <f>(B106-C106)/$L$2</f>
        <v>-4577.2369697372696</v>
      </c>
      <c r="F106">
        <f t="shared" si="3"/>
        <v>14284.537878284133</v>
      </c>
      <c r="G106">
        <f t="shared" si="4"/>
        <v>14.284537878284132</v>
      </c>
      <c r="H106">
        <f t="shared" si="5"/>
        <v>1416.022511755423</v>
      </c>
    </row>
    <row r="107" spans="1:8" x14ac:dyDescent="0.35">
      <c r="A107" t="s">
        <v>107</v>
      </c>
      <c r="B107">
        <v>8.1999999999999993</v>
      </c>
      <c r="C107" s="1">
        <f>C106+$L$4*((B106-C106)/($L$2*$L$3)+(D106)/$L$3)</f>
        <v>19.132555257050861</v>
      </c>
      <c r="D107">
        <f>MAX(0, MIN($L$5,$L$6*(20-C107)))</f>
        <v>4337.2237147456972</v>
      </c>
      <c r="E107">
        <f>(B107-C107)/$L$2</f>
        <v>-4373.0221028203441</v>
      </c>
      <c r="F107">
        <f t="shared" si="3"/>
        <v>14337.223714745698</v>
      </c>
      <c r="G107">
        <f t="shared" si="4"/>
        <v>14.337223714745699</v>
      </c>
      <c r="H107">
        <f t="shared" si="5"/>
        <v>1430.3597354701687</v>
      </c>
    </row>
    <row r="108" spans="1:8" x14ac:dyDescent="0.35">
      <c r="A108" t="s">
        <v>108</v>
      </c>
      <c r="B108">
        <v>8.5</v>
      </c>
      <c r="C108" s="1">
        <f>C107+$L$4*((B107-C107)/($L$2*$L$3)+(D107)/$L$3)</f>
        <v>19.131266515080174</v>
      </c>
      <c r="D108">
        <f>MAX(0, MIN($L$5,$L$6*(20-C108)))</f>
        <v>4343.6674245991289</v>
      </c>
      <c r="E108">
        <f>(B108-C108)/$L$2</f>
        <v>-4252.5066060320696</v>
      </c>
      <c r="F108">
        <f t="shared" si="3"/>
        <v>14343.667424599129</v>
      </c>
      <c r="G108">
        <f t="shared" si="4"/>
        <v>14.343667424599129</v>
      </c>
      <c r="H108">
        <f t="shared" si="5"/>
        <v>1444.7034028947678</v>
      </c>
    </row>
    <row r="109" spans="1:8" x14ac:dyDescent="0.35">
      <c r="A109" t="s">
        <v>109</v>
      </c>
      <c r="B109">
        <v>9.3000000000000007</v>
      </c>
      <c r="C109" s="1">
        <f>C108+$L$4*((B108-C108)/($L$2*$L$3)+(D108)/$L$3)</f>
        <v>19.134548304548588</v>
      </c>
      <c r="D109">
        <f>MAX(0, MIN($L$5,$L$6*(20-C109)))</f>
        <v>4327.2584772570608</v>
      </c>
      <c r="E109">
        <f>(B109-C109)/$L$2</f>
        <v>-3933.8193218194347</v>
      </c>
      <c r="F109">
        <f t="shared" si="3"/>
        <v>14327.258477257061</v>
      </c>
      <c r="G109">
        <f t="shared" si="4"/>
        <v>14.327258477257061</v>
      </c>
      <c r="H109">
        <f t="shared" si="5"/>
        <v>1459.030661372025</v>
      </c>
    </row>
    <row r="110" spans="1:8" x14ac:dyDescent="0.35">
      <c r="A110" t="s">
        <v>110</v>
      </c>
      <c r="B110">
        <v>10</v>
      </c>
      <c r="C110" s="1">
        <f>C109+$L$4*((B109-C109)/($L$2*$L$3)+(D109)/$L$3)</f>
        <v>19.148712114144342</v>
      </c>
      <c r="D110">
        <f>MAX(0, MIN($L$5,$L$6*(20-C110)))</f>
        <v>4256.4394292782918</v>
      </c>
      <c r="E110">
        <f>(B110-C110)/$L$2</f>
        <v>-3659.4848456577365</v>
      </c>
      <c r="F110">
        <f t="shared" si="3"/>
        <v>14256.439429278293</v>
      </c>
      <c r="G110">
        <f t="shared" si="4"/>
        <v>14.256439429278293</v>
      </c>
      <c r="H110">
        <f t="shared" si="5"/>
        <v>1473.2871008013033</v>
      </c>
    </row>
    <row r="111" spans="1:8" x14ac:dyDescent="0.35">
      <c r="A111" t="s">
        <v>111</v>
      </c>
      <c r="B111">
        <v>10.8</v>
      </c>
      <c r="C111" s="1">
        <f>C110+$L$4*((B110-C110)/($L$2*$L$3)+(D110)/$L$3)</f>
        <v>19.170202479154682</v>
      </c>
      <c r="D111">
        <f>MAX(0, MIN($L$5,$L$6*(20-C111)))</f>
        <v>4148.9876042265905</v>
      </c>
      <c r="E111">
        <f>(B111-C111)/$L$2</f>
        <v>-3348.0809916618723</v>
      </c>
      <c r="F111">
        <f t="shared" si="3"/>
        <v>14148.98760422659</v>
      </c>
      <c r="G111">
        <f t="shared" si="4"/>
        <v>14.148987604226589</v>
      </c>
      <c r="H111">
        <f t="shared" si="5"/>
        <v>1487.4360884055297</v>
      </c>
    </row>
    <row r="112" spans="1:8" x14ac:dyDescent="0.35">
      <c r="A112" t="s">
        <v>112</v>
      </c>
      <c r="B112">
        <v>11.2</v>
      </c>
      <c r="C112" s="1">
        <f>C111+$L$4*((B111-C111)/($L$2*$L$3)+(D111)/$L$3)</f>
        <v>19.199035117207011</v>
      </c>
      <c r="D112">
        <f>MAX(0, MIN($L$5,$L$6*(20-C112)))</f>
        <v>4004.8244139649469</v>
      </c>
      <c r="E112">
        <f>(B112-C112)/$L$2</f>
        <v>-3199.6140468828044</v>
      </c>
      <c r="F112">
        <f t="shared" si="3"/>
        <v>14004.824413964947</v>
      </c>
      <c r="G112">
        <f t="shared" si="4"/>
        <v>14.004824413964947</v>
      </c>
      <c r="H112">
        <f t="shared" si="5"/>
        <v>1501.4409128194948</v>
      </c>
    </row>
    <row r="113" spans="1:8" x14ac:dyDescent="0.35">
      <c r="A113" t="s">
        <v>113</v>
      </c>
      <c r="B113">
        <v>11.4</v>
      </c>
      <c r="C113" s="1">
        <f>C112+$L$4*((B112-C112)/($L$2*$L$3)+(D112)/$L$3)</f>
        <v>19.228022690421966</v>
      </c>
      <c r="D113">
        <f>MAX(0, MIN($L$5,$L$6*(20-C113)))</f>
        <v>3859.8865478901698</v>
      </c>
      <c r="E113">
        <f>(B113-C113)/$L$2</f>
        <v>-3131.2090761687864</v>
      </c>
      <c r="F113">
        <f t="shared" si="3"/>
        <v>13859.88654789017</v>
      </c>
      <c r="G113">
        <f t="shared" si="4"/>
        <v>13.85988654789017</v>
      </c>
      <c r="H113">
        <f t="shared" si="5"/>
        <v>1515.300799367385</v>
      </c>
    </row>
    <row r="114" spans="1:8" x14ac:dyDescent="0.35">
      <c r="A114" t="s">
        <v>114</v>
      </c>
      <c r="B114">
        <v>11.5</v>
      </c>
      <c r="C114" s="1">
        <f>C113+$L$4*((B113-C113)/($L$2*$L$3)+(D113)/$L$3)</f>
        <v>19.254255079403936</v>
      </c>
      <c r="D114">
        <f>MAX(0, MIN($L$5,$L$6*(20-C114)))</f>
        <v>3728.7246029803177</v>
      </c>
      <c r="E114">
        <f>(B114-C114)/$L$2</f>
        <v>-3101.7020317615743</v>
      </c>
      <c r="F114">
        <f t="shared" si="3"/>
        <v>13728.724602980317</v>
      </c>
      <c r="G114">
        <f t="shared" si="4"/>
        <v>13.728724602980318</v>
      </c>
      <c r="H114">
        <f t="shared" si="5"/>
        <v>1529.0295239703653</v>
      </c>
    </row>
    <row r="115" spans="1:8" x14ac:dyDescent="0.35">
      <c r="A115" t="s">
        <v>115</v>
      </c>
      <c r="B115">
        <v>11.4</v>
      </c>
      <c r="C115" s="1">
        <f>C114+$L$4*((B114-C114)/($L$2*$L$3)+(D114)/$L$3)</f>
        <v>19.276827891967812</v>
      </c>
      <c r="D115">
        <f>MAX(0, MIN($L$5,$L$6*(20-C115)))</f>
        <v>3615.8605401609379</v>
      </c>
      <c r="E115">
        <f>(B115-C115)/$L$2</f>
        <v>-3150.7311567871247</v>
      </c>
      <c r="F115">
        <f t="shared" si="3"/>
        <v>13615.860540160938</v>
      </c>
      <c r="G115">
        <f t="shared" si="4"/>
        <v>13.615860540160938</v>
      </c>
      <c r="H115">
        <f t="shared" si="5"/>
        <v>1542.6453845105261</v>
      </c>
    </row>
    <row r="116" spans="1:8" x14ac:dyDescent="0.35">
      <c r="A116" t="s">
        <v>116</v>
      </c>
      <c r="B116">
        <v>11.1</v>
      </c>
      <c r="C116" s="1">
        <f>C115+$L$4*((B115-C115)/($L$2*$L$3)+(D115)/$L$3)</f>
        <v>19.293572549769269</v>
      </c>
      <c r="D116">
        <f>MAX(0, MIN($L$5,$L$6*(20-C116)))</f>
        <v>3532.1372511536529</v>
      </c>
      <c r="E116">
        <f>(B116-C116)/$L$2</f>
        <v>-3277.4290199077077</v>
      </c>
      <c r="F116">
        <f t="shared" si="3"/>
        <v>13532.137251153654</v>
      </c>
      <c r="G116">
        <f t="shared" si="4"/>
        <v>13.532137251153653</v>
      </c>
      <c r="H116">
        <f t="shared" si="5"/>
        <v>1556.1775217616798</v>
      </c>
    </row>
    <row r="117" spans="1:8" x14ac:dyDescent="0.35">
      <c r="A117" t="s">
        <v>117</v>
      </c>
      <c r="B117">
        <v>10.3</v>
      </c>
      <c r="C117" s="1">
        <f>C116+$L$4*((B116-C116)/($L$2*$L$3)+(D116)/$L$3)</f>
        <v>19.302742046094124</v>
      </c>
      <c r="D117">
        <f>MAX(0, MIN($L$5,$L$6*(20-C117)))</f>
        <v>3486.2897695293782</v>
      </c>
      <c r="E117">
        <f>(B117-C117)/$L$2</f>
        <v>-3601.0968184376493</v>
      </c>
      <c r="F117">
        <f t="shared" si="3"/>
        <v>13486.289769529378</v>
      </c>
      <c r="G117">
        <f t="shared" si="4"/>
        <v>13.486289769529378</v>
      </c>
      <c r="H117">
        <f t="shared" si="5"/>
        <v>1569.6638115312091</v>
      </c>
    </row>
    <row r="118" spans="1:8" x14ac:dyDescent="0.35">
      <c r="A118" t="s">
        <v>118</v>
      </c>
      <c r="B118">
        <v>9.6999999999999993</v>
      </c>
      <c r="C118" s="1">
        <f>C117+$L$4*((B117-C117)/($L$2*$L$3)+(D117)/$L$3)</f>
        <v>19.298608992333428</v>
      </c>
      <c r="D118">
        <f>MAX(0, MIN($L$5,$L$6*(20-C118)))</f>
        <v>3506.9550383328619</v>
      </c>
      <c r="E118">
        <f>(B118-C118)/$L$2</f>
        <v>-3839.4435969333713</v>
      </c>
      <c r="F118">
        <f t="shared" si="3"/>
        <v>13506.955038332862</v>
      </c>
      <c r="G118">
        <f t="shared" si="4"/>
        <v>13.506955038332862</v>
      </c>
      <c r="H118">
        <f t="shared" si="5"/>
        <v>1583.1707665695419</v>
      </c>
    </row>
    <row r="119" spans="1:8" x14ac:dyDescent="0.35">
      <c r="A119" t="s">
        <v>119</v>
      </c>
      <c r="B119">
        <v>9.5</v>
      </c>
      <c r="C119" s="1">
        <f>C118+$L$4*((B118-C118)/($L$2*$L$3)+(D118)/$L$3)</f>
        <v>19.286639404223809</v>
      </c>
      <c r="D119">
        <f>MAX(0, MIN($L$5,$L$6*(20-C119)))</f>
        <v>3566.802978880954</v>
      </c>
      <c r="E119">
        <f>(B119-C119)/$L$2</f>
        <v>-3914.6557616895234</v>
      </c>
      <c r="F119">
        <f t="shared" si="3"/>
        <v>13566.802978880954</v>
      </c>
      <c r="G119">
        <f t="shared" si="4"/>
        <v>13.566802978880954</v>
      </c>
      <c r="H119">
        <f t="shared" si="5"/>
        <v>1596.7375695484229</v>
      </c>
    </row>
    <row r="120" spans="1:8" x14ac:dyDescent="0.35">
      <c r="A120" t="s">
        <v>120</v>
      </c>
      <c r="B120">
        <v>9.6999999999999993</v>
      </c>
      <c r="C120" s="1">
        <f>C119+$L$4*((B119-C119)/($L$2*$L$3)+(D119)/$L$3)</f>
        <v>19.274116704042701</v>
      </c>
      <c r="D120">
        <f>MAX(0, MIN($L$5,$L$6*(20-C120)))</f>
        <v>3629.416479786496</v>
      </c>
      <c r="E120">
        <f>(B120-C120)/$L$2</f>
        <v>-3829.6466816170805</v>
      </c>
      <c r="F120">
        <f t="shared" si="3"/>
        <v>13629.416479786496</v>
      </c>
      <c r="G120">
        <f t="shared" si="4"/>
        <v>13.629416479786496</v>
      </c>
      <c r="H120">
        <f t="shared" si="5"/>
        <v>1610.3669860282093</v>
      </c>
    </row>
    <row r="121" spans="1:8" x14ac:dyDescent="0.35">
      <c r="A121" t="s">
        <v>121</v>
      </c>
      <c r="B121">
        <v>9</v>
      </c>
      <c r="C121" s="1">
        <f>C120+$L$4*((B120-C120)/($L$2*$L$3)+(D120)/$L$3)</f>
        <v>19.266908416776801</v>
      </c>
      <c r="D121">
        <f>MAX(0, MIN($L$5,$L$6*(20-C121)))</f>
        <v>3665.4579161159973</v>
      </c>
      <c r="E121">
        <f>(B121-C121)/$L$2</f>
        <v>-4106.7633667107202</v>
      </c>
      <c r="F121">
        <f t="shared" si="3"/>
        <v>13665.457916115996</v>
      </c>
      <c r="G121">
        <f t="shared" si="4"/>
        <v>13.665457916115995</v>
      </c>
      <c r="H121">
        <f t="shared" si="5"/>
        <v>1624.0324439443252</v>
      </c>
    </row>
    <row r="122" spans="1:8" x14ac:dyDescent="0.35">
      <c r="G122">
        <f>SUM(G2:G121)</f>
        <v>1624.0324439443252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open-meteo-48.85N2.35E43m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Jacem Hamdi</dc:creator>
  <cp:lastModifiedBy>Jacem Hamdi</cp:lastModifiedBy>
  <dcterms:created xsi:type="dcterms:W3CDTF">2026-02-20T22:01:28Z</dcterms:created>
  <dcterms:modified xsi:type="dcterms:W3CDTF">2026-02-24T00:25:30Z</dcterms:modified>
</cp:coreProperties>
</file>