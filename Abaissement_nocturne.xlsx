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se\Desktop\"/>
    </mc:Choice>
  </mc:AlternateContent>
  <xr:revisionPtr revIDLastSave="0" documentId="8_{6A2C95F6-E899-433F-97D9-D45B19FD51A6}" xr6:coauthVersionLast="47" xr6:coauthVersionMax="47" xr10:uidLastSave="{00000000-0000-0000-0000-000000000000}"/>
  <bookViews>
    <workbookView xWindow="-110" yWindow="-110" windowWidth="19420" windowHeight="11500" xr2:uid="{8461A82F-39F1-4A5A-97BF-3705F4389599}"/>
  </bookViews>
  <sheets>
    <sheet name="open-meteo-48.85N2.35E43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  <c r="E2" i="1"/>
  <c r="G2" i="1" s="1"/>
  <c r="H2" i="1" s="1"/>
  <c r="F2" i="1"/>
  <c r="I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3" i="1"/>
  <c r="I4" i="1"/>
  <c r="D3" i="1" l="1"/>
  <c r="E3" i="1" s="1"/>
  <c r="F3" i="1" l="1"/>
  <c r="G3" i="1"/>
  <c r="H3" i="1" s="1"/>
  <c r="D4" i="1" l="1"/>
  <c r="E4" i="1" l="1"/>
  <c r="F4" i="1"/>
  <c r="D5" i="1" l="1"/>
  <c r="G4" i="1"/>
  <c r="H4" i="1" s="1"/>
  <c r="E5" i="1" l="1"/>
  <c r="F5" i="1"/>
  <c r="D6" i="1" l="1"/>
  <c r="G5" i="1"/>
  <c r="H5" i="1" s="1"/>
  <c r="E6" i="1" l="1"/>
  <c r="F6" i="1"/>
  <c r="D7" i="1" l="1"/>
  <c r="G6" i="1"/>
  <c r="H6" i="1" s="1"/>
  <c r="E7" i="1" l="1"/>
  <c r="F7" i="1"/>
  <c r="D8" i="1" l="1"/>
  <c r="G7" i="1"/>
  <c r="H7" i="1" s="1"/>
  <c r="E8" i="1" l="1"/>
  <c r="F8" i="1"/>
  <c r="D9" i="1" l="1"/>
  <c r="G8" i="1"/>
  <c r="H8" i="1" s="1"/>
  <c r="E9" i="1" l="1"/>
  <c r="F9" i="1"/>
  <c r="D10" i="1" l="1"/>
  <c r="G9" i="1"/>
  <c r="H9" i="1" s="1"/>
  <c r="E10" i="1" l="1"/>
  <c r="F10" i="1"/>
  <c r="D11" i="1" l="1"/>
  <c r="G10" i="1"/>
  <c r="H10" i="1" s="1"/>
  <c r="E11" i="1" l="1"/>
  <c r="F11" i="1"/>
  <c r="D12" i="1" l="1"/>
  <c r="G11" i="1"/>
  <c r="H11" i="1" s="1"/>
  <c r="E12" i="1" l="1"/>
  <c r="F12" i="1"/>
  <c r="D13" i="1" l="1"/>
  <c r="G12" i="1"/>
  <c r="H12" i="1" s="1"/>
  <c r="E13" i="1" l="1"/>
  <c r="G13" i="1" s="1"/>
  <c r="H13" i="1" s="1"/>
  <c r="F13" i="1"/>
  <c r="D14" i="1" l="1"/>
  <c r="E14" i="1" l="1"/>
  <c r="G14" i="1" s="1"/>
  <c r="H14" i="1" s="1"/>
  <c r="F14" i="1"/>
  <c r="D15" i="1" l="1"/>
  <c r="E15" i="1" l="1"/>
  <c r="F15" i="1"/>
  <c r="D16" i="1" l="1"/>
  <c r="G15" i="1"/>
  <c r="H15" i="1" s="1"/>
  <c r="E16" i="1" l="1"/>
  <c r="F16" i="1"/>
  <c r="D17" i="1" l="1"/>
  <c r="G16" i="1"/>
  <c r="H16" i="1" s="1"/>
  <c r="E17" i="1" l="1"/>
  <c r="F17" i="1"/>
  <c r="D18" i="1" l="1"/>
  <c r="G17" i="1"/>
  <c r="H17" i="1" s="1"/>
  <c r="E18" i="1" l="1"/>
  <c r="G18" i="1" s="1"/>
  <c r="H18" i="1" s="1"/>
  <c r="F18" i="1"/>
  <c r="D19" i="1" l="1"/>
  <c r="E19" i="1" l="1"/>
  <c r="G19" i="1" s="1"/>
  <c r="H19" i="1" s="1"/>
  <c r="F19" i="1"/>
  <c r="D20" i="1" l="1"/>
  <c r="E20" i="1" l="1"/>
  <c r="F20" i="1"/>
  <c r="D21" i="1" l="1"/>
  <c r="G20" i="1"/>
  <c r="H20" i="1" s="1"/>
  <c r="E21" i="1" l="1"/>
  <c r="F21" i="1"/>
  <c r="D22" i="1" l="1"/>
  <c r="G21" i="1"/>
  <c r="H21" i="1" s="1"/>
  <c r="E22" i="1" l="1"/>
  <c r="F22" i="1"/>
  <c r="D23" i="1" l="1"/>
  <c r="G22" i="1"/>
  <c r="H22" i="1" s="1"/>
  <c r="E23" i="1" l="1"/>
  <c r="F23" i="1"/>
  <c r="D24" i="1" l="1"/>
  <c r="G23" i="1"/>
  <c r="H23" i="1" s="1"/>
  <c r="E24" i="1" l="1"/>
  <c r="F24" i="1"/>
  <c r="D25" i="1" l="1"/>
  <c r="G24" i="1"/>
  <c r="H24" i="1" s="1"/>
  <c r="E25" i="1" l="1"/>
  <c r="F25" i="1"/>
  <c r="D26" i="1" l="1"/>
  <c r="G25" i="1"/>
  <c r="H25" i="1" s="1"/>
  <c r="E26" i="1" l="1"/>
  <c r="F26" i="1"/>
  <c r="D27" i="1" l="1"/>
  <c r="G26" i="1"/>
  <c r="H26" i="1" s="1"/>
  <c r="E27" i="1" l="1"/>
  <c r="G27" i="1"/>
  <c r="H27" i="1" s="1"/>
  <c r="F27" i="1"/>
  <c r="D28" i="1" l="1"/>
  <c r="E28" i="1" s="1"/>
  <c r="G28" i="1" l="1"/>
  <c r="H28" i="1" s="1"/>
  <c r="F28" i="1"/>
  <c r="D29" i="1" l="1"/>
  <c r="E29" i="1" s="1"/>
  <c r="F29" i="1" l="1"/>
  <c r="D30" i="1" l="1"/>
  <c r="E30" i="1" s="1"/>
  <c r="G29" i="1"/>
  <c r="H29" i="1" s="1"/>
  <c r="F30" i="1" l="1"/>
  <c r="D31" i="1" l="1"/>
  <c r="E31" i="1" s="1"/>
  <c r="G30" i="1"/>
  <c r="H30" i="1" s="1"/>
  <c r="F31" i="1" l="1"/>
  <c r="D32" i="1" l="1"/>
  <c r="E32" i="1" s="1"/>
  <c r="G31" i="1"/>
  <c r="H31" i="1" s="1"/>
  <c r="F32" i="1" l="1"/>
  <c r="D33" i="1" l="1"/>
  <c r="E33" i="1" s="1"/>
  <c r="G32" i="1"/>
  <c r="H32" i="1" s="1"/>
  <c r="F33" i="1" l="1"/>
  <c r="D34" i="1" l="1"/>
  <c r="E34" i="1" s="1"/>
  <c r="G33" i="1"/>
  <c r="H33" i="1" s="1"/>
  <c r="F34" i="1" l="1"/>
  <c r="D35" i="1" l="1"/>
  <c r="E35" i="1" s="1"/>
  <c r="G34" i="1"/>
  <c r="H34" i="1" s="1"/>
  <c r="F35" i="1" l="1"/>
  <c r="D36" i="1" l="1"/>
  <c r="E36" i="1" s="1"/>
  <c r="G35" i="1"/>
  <c r="H35" i="1" s="1"/>
  <c r="F36" i="1" l="1"/>
  <c r="D37" i="1" l="1"/>
  <c r="E37" i="1" s="1"/>
  <c r="G36" i="1"/>
  <c r="H36" i="1" s="1"/>
  <c r="F37" i="1" l="1"/>
  <c r="D38" i="1" l="1"/>
  <c r="E38" i="1" s="1"/>
  <c r="G37" i="1"/>
  <c r="H37" i="1" s="1"/>
  <c r="F38" i="1" l="1"/>
  <c r="D39" i="1" l="1"/>
  <c r="E39" i="1" s="1"/>
  <c r="G38" i="1"/>
  <c r="H38" i="1" s="1"/>
  <c r="F39" i="1" l="1"/>
  <c r="D40" i="1" l="1"/>
  <c r="E40" i="1" s="1"/>
  <c r="G39" i="1"/>
  <c r="H39" i="1" s="1"/>
  <c r="F40" i="1" l="1"/>
  <c r="D41" i="1" l="1"/>
  <c r="E41" i="1" s="1"/>
  <c r="G40" i="1"/>
  <c r="H40" i="1" s="1"/>
  <c r="F41" i="1" l="1"/>
  <c r="D42" i="1" l="1"/>
  <c r="E42" i="1" s="1"/>
  <c r="G41" i="1"/>
  <c r="H41" i="1" s="1"/>
  <c r="F42" i="1" l="1"/>
  <c r="D43" i="1" l="1"/>
  <c r="E43" i="1" s="1"/>
  <c r="G42" i="1"/>
  <c r="H42" i="1" s="1"/>
  <c r="F43" i="1" l="1"/>
  <c r="D44" i="1" l="1"/>
  <c r="E44" i="1" s="1"/>
  <c r="G43" i="1"/>
  <c r="H43" i="1" s="1"/>
  <c r="F44" i="1" l="1"/>
  <c r="D45" i="1" l="1"/>
  <c r="E45" i="1" s="1"/>
  <c r="G44" i="1"/>
  <c r="H44" i="1" s="1"/>
  <c r="F45" i="1" l="1"/>
  <c r="D46" i="1" l="1"/>
  <c r="E46" i="1" s="1"/>
  <c r="G45" i="1"/>
  <c r="H45" i="1" s="1"/>
  <c r="F46" i="1" l="1"/>
  <c r="D47" i="1" l="1"/>
  <c r="E47" i="1" s="1"/>
  <c r="G46" i="1"/>
  <c r="H46" i="1" s="1"/>
  <c r="F47" i="1" l="1"/>
  <c r="D48" i="1" l="1"/>
  <c r="E48" i="1" s="1"/>
  <c r="G47" i="1"/>
  <c r="H47" i="1" s="1"/>
  <c r="F48" i="1" l="1"/>
  <c r="D49" i="1" l="1"/>
  <c r="E49" i="1" s="1"/>
  <c r="G48" i="1"/>
  <c r="H48" i="1" s="1"/>
  <c r="F49" i="1" l="1"/>
  <c r="D50" i="1" l="1"/>
  <c r="E50" i="1" s="1"/>
  <c r="G49" i="1"/>
  <c r="H49" i="1" s="1"/>
  <c r="F50" i="1" l="1"/>
  <c r="D51" i="1" l="1"/>
  <c r="E51" i="1" s="1"/>
  <c r="G50" i="1"/>
  <c r="H50" i="1" s="1"/>
  <c r="F51" i="1" l="1"/>
  <c r="D52" i="1" l="1"/>
  <c r="E52" i="1" s="1"/>
  <c r="G51" i="1"/>
  <c r="H51" i="1" s="1"/>
  <c r="F52" i="1" l="1"/>
  <c r="D53" i="1" l="1"/>
  <c r="E53" i="1" s="1"/>
  <c r="G52" i="1"/>
  <c r="H52" i="1" s="1"/>
  <c r="F53" i="1" l="1"/>
  <c r="D54" i="1" l="1"/>
  <c r="E54" i="1" s="1"/>
  <c r="G53" i="1"/>
  <c r="H53" i="1" s="1"/>
  <c r="F54" i="1" l="1"/>
  <c r="D55" i="1" l="1"/>
  <c r="E55" i="1" s="1"/>
  <c r="G54" i="1"/>
  <c r="H54" i="1" s="1"/>
  <c r="F55" i="1" l="1"/>
  <c r="D56" i="1" l="1"/>
  <c r="E56" i="1" s="1"/>
  <c r="G55" i="1"/>
  <c r="H55" i="1" s="1"/>
  <c r="F56" i="1" l="1"/>
  <c r="D57" i="1" l="1"/>
  <c r="E57" i="1" s="1"/>
  <c r="G56" i="1"/>
  <c r="H56" i="1" s="1"/>
  <c r="F57" i="1" l="1"/>
  <c r="D58" i="1" l="1"/>
  <c r="E58" i="1" s="1"/>
  <c r="G57" i="1"/>
  <c r="H57" i="1" s="1"/>
  <c r="F58" i="1" l="1"/>
  <c r="D59" i="1" l="1"/>
  <c r="E59" i="1" s="1"/>
  <c r="G58" i="1"/>
  <c r="H58" i="1" s="1"/>
  <c r="F59" i="1" l="1"/>
  <c r="D60" i="1" l="1"/>
  <c r="E60" i="1" s="1"/>
  <c r="G59" i="1"/>
  <c r="H59" i="1" s="1"/>
  <c r="F60" i="1" l="1"/>
  <c r="D61" i="1" l="1"/>
  <c r="E61" i="1" s="1"/>
  <c r="G60" i="1"/>
  <c r="H60" i="1" s="1"/>
  <c r="F61" i="1" l="1"/>
  <c r="D62" i="1" l="1"/>
  <c r="E62" i="1" s="1"/>
  <c r="G61" i="1"/>
  <c r="H61" i="1" s="1"/>
  <c r="F62" i="1" l="1"/>
  <c r="D63" i="1" l="1"/>
  <c r="E63" i="1" s="1"/>
  <c r="G62" i="1"/>
  <c r="H62" i="1" s="1"/>
  <c r="F63" i="1" l="1"/>
  <c r="D64" i="1" l="1"/>
  <c r="E64" i="1" s="1"/>
  <c r="G63" i="1"/>
  <c r="H63" i="1" s="1"/>
  <c r="F64" i="1" l="1"/>
  <c r="D65" i="1" l="1"/>
  <c r="E65" i="1" s="1"/>
  <c r="G64" i="1"/>
  <c r="H64" i="1" s="1"/>
  <c r="F65" i="1" l="1"/>
  <c r="D66" i="1" l="1"/>
  <c r="E66" i="1" s="1"/>
  <c r="G65" i="1"/>
  <c r="H65" i="1" s="1"/>
  <c r="F66" i="1" l="1"/>
  <c r="D67" i="1" l="1"/>
  <c r="E67" i="1" s="1"/>
  <c r="G66" i="1"/>
  <c r="H66" i="1" s="1"/>
  <c r="F67" i="1" l="1"/>
  <c r="D68" i="1" l="1"/>
  <c r="E68" i="1" s="1"/>
  <c r="G67" i="1"/>
  <c r="H67" i="1" s="1"/>
  <c r="G68" i="1" l="1"/>
  <c r="H68" i="1" s="1"/>
  <c r="F68" i="1"/>
  <c r="D69" i="1" l="1"/>
  <c r="E69" i="1" s="1"/>
  <c r="F69" i="1" l="1"/>
  <c r="D70" i="1" l="1"/>
  <c r="E70" i="1" s="1"/>
  <c r="G69" i="1"/>
  <c r="H69" i="1" s="1"/>
  <c r="F70" i="1" l="1"/>
  <c r="D71" i="1" l="1"/>
  <c r="E71" i="1" s="1"/>
  <c r="G70" i="1"/>
  <c r="H70" i="1" s="1"/>
  <c r="F71" i="1" l="1"/>
  <c r="D72" i="1" l="1"/>
  <c r="E72" i="1" s="1"/>
  <c r="G71" i="1"/>
  <c r="H71" i="1" s="1"/>
  <c r="F72" i="1" l="1"/>
  <c r="D73" i="1" l="1"/>
  <c r="E73" i="1" s="1"/>
  <c r="G72" i="1"/>
  <c r="H72" i="1" s="1"/>
  <c r="F73" i="1" l="1"/>
  <c r="D74" i="1" l="1"/>
  <c r="E74" i="1" s="1"/>
  <c r="G73" i="1"/>
  <c r="H73" i="1" s="1"/>
  <c r="F74" i="1" l="1"/>
  <c r="D75" i="1" l="1"/>
  <c r="E75" i="1" s="1"/>
  <c r="G74" i="1"/>
  <c r="H74" i="1" s="1"/>
  <c r="F75" i="1" l="1"/>
  <c r="D76" i="1" l="1"/>
  <c r="E76" i="1" s="1"/>
  <c r="G75" i="1"/>
  <c r="H75" i="1" s="1"/>
  <c r="F76" i="1" l="1"/>
  <c r="D77" i="1" l="1"/>
  <c r="E77" i="1" s="1"/>
  <c r="G76" i="1"/>
  <c r="H76" i="1" s="1"/>
  <c r="F77" i="1" l="1"/>
  <c r="D78" i="1" l="1"/>
  <c r="E78" i="1" s="1"/>
  <c r="G77" i="1"/>
  <c r="H77" i="1" s="1"/>
  <c r="F78" i="1" l="1"/>
  <c r="D79" i="1" l="1"/>
  <c r="E79" i="1" s="1"/>
  <c r="G78" i="1"/>
  <c r="H78" i="1" s="1"/>
  <c r="F79" i="1" l="1"/>
  <c r="D80" i="1" l="1"/>
  <c r="E80" i="1" s="1"/>
  <c r="G79" i="1"/>
  <c r="H79" i="1" s="1"/>
  <c r="F80" i="1" l="1"/>
  <c r="D81" i="1" l="1"/>
  <c r="E81" i="1" s="1"/>
  <c r="G80" i="1"/>
  <c r="H80" i="1" s="1"/>
  <c r="F81" i="1" l="1"/>
  <c r="D82" i="1" l="1"/>
  <c r="E82" i="1" s="1"/>
  <c r="G81" i="1"/>
  <c r="H81" i="1" s="1"/>
  <c r="F82" i="1" l="1"/>
  <c r="D83" i="1" l="1"/>
  <c r="E83" i="1" s="1"/>
  <c r="G82" i="1"/>
  <c r="H82" i="1" s="1"/>
  <c r="F83" i="1" l="1"/>
  <c r="D84" i="1" l="1"/>
  <c r="E84" i="1" s="1"/>
  <c r="G83" i="1"/>
  <c r="H83" i="1" s="1"/>
  <c r="F84" i="1" l="1"/>
  <c r="D85" i="1" l="1"/>
  <c r="E85" i="1" s="1"/>
  <c r="G84" i="1"/>
  <c r="H84" i="1" s="1"/>
  <c r="F85" i="1" l="1"/>
  <c r="D86" i="1" l="1"/>
  <c r="E86" i="1" s="1"/>
  <c r="G85" i="1"/>
  <c r="H85" i="1" s="1"/>
  <c r="F86" i="1" l="1"/>
  <c r="D87" i="1" l="1"/>
  <c r="E87" i="1" s="1"/>
  <c r="G86" i="1"/>
  <c r="H86" i="1" s="1"/>
  <c r="G87" i="1" l="1"/>
  <c r="H87" i="1" s="1"/>
  <c r="F87" i="1"/>
  <c r="D88" i="1" l="1"/>
  <c r="E88" i="1" s="1"/>
  <c r="F88" i="1" l="1"/>
  <c r="D89" i="1" l="1"/>
  <c r="E89" i="1" s="1"/>
  <c r="G88" i="1"/>
  <c r="H88" i="1" s="1"/>
  <c r="F89" i="1" l="1"/>
  <c r="D90" i="1" l="1"/>
  <c r="E90" i="1" s="1"/>
  <c r="G89" i="1"/>
  <c r="H89" i="1" s="1"/>
  <c r="F90" i="1" l="1"/>
  <c r="D91" i="1" l="1"/>
  <c r="E91" i="1" s="1"/>
  <c r="G90" i="1"/>
  <c r="H90" i="1" s="1"/>
  <c r="F91" i="1" l="1"/>
  <c r="D92" i="1" l="1"/>
  <c r="E92" i="1" s="1"/>
  <c r="G91" i="1"/>
  <c r="H91" i="1" s="1"/>
  <c r="F92" i="1" l="1"/>
  <c r="D93" i="1" l="1"/>
  <c r="E93" i="1" s="1"/>
  <c r="G92" i="1"/>
  <c r="H92" i="1" s="1"/>
  <c r="F93" i="1" l="1"/>
  <c r="D94" i="1" l="1"/>
  <c r="E94" i="1" s="1"/>
  <c r="G93" i="1"/>
  <c r="H93" i="1" s="1"/>
  <c r="F94" i="1" l="1"/>
  <c r="D95" i="1" l="1"/>
  <c r="E95" i="1" s="1"/>
  <c r="G94" i="1"/>
  <c r="H94" i="1" s="1"/>
  <c r="F95" i="1" l="1"/>
  <c r="D96" i="1" l="1"/>
  <c r="E96" i="1" s="1"/>
  <c r="G95" i="1"/>
  <c r="H95" i="1" s="1"/>
  <c r="F96" i="1" l="1"/>
  <c r="D97" i="1" l="1"/>
  <c r="E97" i="1" s="1"/>
  <c r="G96" i="1"/>
  <c r="H96" i="1" s="1"/>
  <c r="F97" i="1" l="1"/>
  <c r="D98" i="1" l="1"/>
  <c r="E98" i="1" s="1"/>
  <c r="G97" i="1"/>
  <c r="H97" i="1" s="1"/>
  <c r="F98" i="1" l="1"/>
  <c r="D99" i="1" l="1"/>
  <c r="E99" i="1" s="1"/>
  <c r="G98" i="1"/>
  <c r="H98" i="1" s="1"/>
  <c r="F99" i="1" l="1"/>
  <c r="D100" i="1" l="1"/>
  <c r="E100" i="1" s="1"/>
  <c r="G99" i="1"/>
  <c r="H99" i="1" s="1"/>
  <c r="F100" i="1" l="1"/>
  <c r="D101" i="1" l="1"/>
  <c r="E101" i="1" s="1"/>
  <c r="G100" i="1"/>
  <c r="H100" i="1" s="1"/>
  <c r="F101" i="1" l="1"/>
  <c r="D102" i="1" l="1"/>
  <c r="E102" i="1" s="1"/>
  <c r="G101" i="1"/>
  <c r="H101" i="1" s="1"/>
  <c r="F102" i="1" l="1"/>
  <c r="D103" i="1" l="1"/>
  <c r="E103" i="1" s="1"/>
  <c r="G102" i="1"/>
  <c r="H102" i="1" s="1"/>
  <c r="F103" i="1" l="1"/>
  <c r="D104" i="1" l="1"/>
  <c r="E104" i="1" s="1"/>
  <c r="G103" i="1"/>
  <c r="H103" i="1" s="1"/>
  <c r="F104" i="1" l="1"/>
  <c r="D105" i="1" l="1"/>
  <c r="E105" i="1" s="1"/>
  <c r="G104" i="1"/>
  <c r="H104" i="1" s="1"/>
  <c r="F105" i="1" l="1"/>
  <c r="D106" i="1" l="1"/>
  <c r="E106" i="1" s="1"/>
  <c r="G105" i="1"/>
  <c r="H105" i="1" s="1"/>
  <c r="F106" i="1" l="1"/>
  <c r="D107" i="1" l="1"/>
  <c r="E107" i="1" s="1"/>
  <c r="G106" i="1"/>
  <c r="H106" i="1" s="1"/>
  <c r="F107" i="1" l="1"/>
  <c r="D108" i="1" l="1"/>
  <c r="E108" i="1" s="1"/>
  <c r="G107" i="1"/>
  <c r="H107" i="1" s="1"/>
  <c r="F108" i="1" l="1"/>
  <c r="D109" i="1" l="1"/>
  <c r="E109" i="1" s="1"/>
  <c r="G108" i="1"/>
  <c r="H108" i="1" s="1"/>
  <c r="F109" i="1" l="1"/>
  <c r="D110" i="1" l="1"/>
  <c r="E110" i="1" s="1"/>
  <c r="G109" i="1"/>
  <c r="H109" i="1" s="1"/>
  <c r="G110" i="1" l="1"/>
  <c r="H110" i="1" s="1"/>
  <c r="F110" i="1"/>
  <c r="D111" i="1" l="1"/>
  <c r="E111" i="1" s="1"/>
  <c r="F111" i="1" l="1"/>
  <c r="D112" i="1" l="1"/>
  <c r="E112" i="1" s="1"/>
  <c r="G111" i="1"/>
  <c r="H111" i="1" s="1"/>
  <c r="F112" i="1" l="1"/>
  <c r="D113" i="1" l="1"/>
  <c r="E113" i="1" s="1"/>
  <c r="G112" i="1"/>
  <c r="H112" i="1" s="1"/>
  <c r="F113" i="1" l="1"/>
  <c r="D114" i="1" l="1"/>
  <c r="E114" i="1" s="1"/>
  <c r="G113" i="1"/>
  <c r="H113" i="1" s="1"/>
  <c r="G114" i="1" l="1"/>
  <c r="H114" i="1" s="1"/>
  <c r="F114" i="1"/>
  <c r="D115" i="1" l="1"/>
  <c r="E115" i="1" s="1"/>
  <c r="F115" i="1" l="1"/>
  <c r="D116" i="1" l="1"/>
  <c r="E116" i="1" s="1"/>
  <c r="G115" i="1"/>
  <c r="H115" i="1" s="1"/>
  <c r="F116" i="1" l="1"/>
  <c r="D117" i="1" l="1"/>
  <c r="E117" i="1" s="1"/>
  <c r="G116" i="1"/>
  <c r="H116" i="1" s="1"/>
  <c r="F117" i="1" l="1"/>
  <c r="D118" i="1" l="1"/>
  <c r="E118" i="1" s="1"/>
  <c r="G117" i="1"/>
  <c r="H117" i="1" s="1"/>
  <c r="F118" i="1" l="1"/>
  <c r="D119" i="1" l="1"/>
  <c r="E119" i="1" s="1"/>
  <c r="G118" i="1"/>
  <c r="H118" i="1" s="1"/>
  <c r="F119" i="1" l="1"/>
  <c r="D120" i="1" l="1"/>
  <c r="E120" i="1" s="1"/>
  <c r="G119" i="1"/>
  <c r="H119" i="1" s="1"/>
  <c r="F120" i="1" l="1"/>
  <c r="D121" i="1" l="1"/>
  <c r="E121" i="1" s="1"/>
  <c r="G120" i="1"/>
  <c r="H120" i="1" s="1"/>
  <c r="G121" i="1" l="1"/>
  <c r="H121" i="1" s="1"/>
  <c r="H122" i="1" s="1"/>
  <c r="F121" i="1"/>
</calcChain>
</file>

<file path=xl/sharedStrings.xml><?xml version="1.0" encoding="utf-8"?>
<sst xmlns="http://schemas.openxmlformats.org/spreadsheetml/2006/main" count="24" uniqueCount="24">
  <si>
    <t>time</t>
  </si>
  <si>
    <t>temperature_2m (Â°C)</t>
  </si>
  <si>
    <t>T-int</t>
  </si>
  <si>
    <t>Flux-pertes</t>
  </si>
  <si>
    <t>Δt</t>
  </si>
  <si>
    <t xml:space="preserve">R (résistance thermique globale du bâtiment)	</t>
  </si>
  <si>
    <t>Paramètre</t>
  </si>
  <si>
    <t>Valeur</t>
  </si>
  <si>
    <t>Unité</t>
  </si>
  <si>
    <t>C (capacité thermique du bâtiment)</t>
  </si>
  <si>
    <t>J/K</t>
  </si>
  <si>
    <t>secondes</t>
  </si>
  <si>
    <t>K/W</t>
  </si>
  <si>
    <t>P_max chauffage (50kW)</t>
  </si>
  <si>
    <t>Kp(régulation proportionnelle)</t>
  </si>
  <si>
    <t>Watt</t>
  </si>
  <si>
    <t>W/K</t>
  </si>
  <si>
    <t>P_chauff</t>
  </si>
  <si>
    <t>P_totale (W)</t>
  </si>
  <si>
    <t>Energie(KWh)</t>
  </si>
  <si>
    <t>Heure</t>
  </si>
  <si>
    <t>heure</t>
  </si>
  <si>
    <t>T-set</t>
  </si>
  <si>
    <t>Énergie cumulée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</si>
</sst>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solidFill>
                  <a:schemeClr val="tx2"/>
                </a:solidFill>
              </a:rPr>
              <a:t>Évolution des températures intérieure et extérieure</a:t>
            </a:r>
            <a:endParaRPr lang="fr-FR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3043723843464031E-2"/>
          <c:y val="0.19949728901397115"/>
          <c:w val="0.91957986366436795"/>
          <c:h val="0.55194333818616426"/>
        </c:manualLayout>
      </c:layout>
      <c:lineChart>
        <c:grouping val="standard"/>
        <c:varyColors val="0"/>
        <c:ser>
          <c:idx val="0"/>
          <c:order val="0"/>
          <c:tx>
            <c:strRef>
              <c:f>'open-meteo-48.85N2.35E43m'!$C$1</c:f>
              <c:strCache>
                <c:ptCount val="1"/>
                <c:pt idx="0">
                  <c:v>temperature_2m (Â°C)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'open-meteo-48.85N2.35E43m'!$C$2:$C$122</c:f>
              <c:numCache>
                <c:formatCode>General</c:formatCode>
                <c:ptCount val="121"/>
                <c:pt idx="0">
                  <c:v>10.5</c:v>
                </c:pt>
                <c:pt idx="1">
                  <c:v>9.6999999999999993</c:v>
                </c:pt>
                <c:pt idx="2">
                  <c:v>9.5</c:v>
                </c:pt>
                <c:pt idx="3">
                  <c:v>9.4</c:v>
                </c:pt>
                <c:pt idx="4">
                  <c:v>9.1</c:v>
                </c:pt>
                <c:pt idx="5">
                  <c:v>8.9</c:v>
                </c:pt>
                <c:pt idx="6">
                  <c:v>8.4</c:v>
                </c:pt>
                <c:pt idx="7">
                  <c:v>8.3000000000000007</c:v>
                </c:pt>
                <c:pt idx="8">
                  <c:v>7.6</c:v>
                </c:pt>
                <c:pt idx="9">
                  <c:v>7.7</c:v>
                </c:pt>
                <c:pt idx="10">
                  <c:v>8</c:v>
                </c:pt>
                <c:pt idx="11">
                  <c:v>9</c:v>
                </c:pt>
                <c:pt idx="12">
                  <c:v>9.9</c:v>
                </c:pt>
                <c:pt idx="13">
                  <c:v>10.5</c:v>
                </c:pt>
                <c:pt idx="14">
                  <c:v>10.5</c:v>
                </c:pt>
                <c:pt idx="15">
                  <c:v>12</c:v>
                </c:pt>
                <c:pt idx="16">
                  <c:v>11.8</c:v>
                </c:pt>
                <c:pt idx="17">
                  <c:v>11.4</c:v>
                </c:pt>
                <c:pt idx="18">
                  <c:v>11.2</c:v>
                </c:pt>
                <c:pt idx="19">
                  <c:v>10.7</c:v>
                </c:pt>
                <c:pt idx="20">
                  <c:v>10.8</c:v>
                </c:pt>
                <c:pt idx="21">
                  <c:v>11.2</c:v>
                </c:pt>
                <c:pt idx="22">
                  <c:v>11.1</c:v>
                </c:pt>
                <c:pt idx="23">
                  <c:v>9.8000000000000007</c:v>
                </c:pt>
                <c:pt idx="24">
                  <c:v>9.1999999999999993</c:v>
                </c:pt>
                <c:pt idx="25">
                  <c:v>8.8000000000000007</c:v>
                </c:pt>
                <c:pt idx="26">
                  <c:v>8.6</c:v>
                </c:pt>
                <c:pt idx="27">
                  <c:v>8.6999999999999993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8.6999999999999993</c:v>
                </c:pt>
                <c:pt idx="31">
                  <c:v>9</c:v>
                </c:pt>
                <c:pt idx="32">
                  <c:v>9.1</c:v>
                </c:pt>
                <c:pt idx="33">
                  <c:v>9.4</c:v>
                </c:pt>
                <c:pt idx="34">
                  <c:v>9.6</c:v>
                </c:pt>
                <c:pt idx="35">
                  <c:v>10</c:v>
                </c:pt>
                <c:pt idx="36">
                  <c:v>10.3</c:v>
                </c:pt>
                <c:pt idx="37">
                  <c:v>10.199999999999999</c:v>
                </c:pt>
                <c:pt idx="38">
                  <c:v>10.5</c:v>
                </c:pt>
                <c:pt idx="39">
                  <c:v>12.6</c:v>
                </c:pt>
                <c:pt idx="40">
                  <c:v>11.9</c:v>
                </c:pt>
                <c:pt idx="41">
                  <c:v>11.6</c:v>
                </c:pt>
                <c:pt idx="42">
                  <c:v>11.8</c:v>
                </c:pt>
                <c:pt idx="43">
                  <c:v>11.2</c:v>
                </c:pt>
                <c:pt idx="44">
                  <c:v>10.9</c:v>
                </c:pt>
                <c:pt idx="45">
                  <c:v>10.9</c:v>
                </c:pt>
                <c:pt idx="46">
                  <c:v>10.4</c:v>
                </c:pt>
                <c:pt idx="47">
                  <c:v>10.9</c:v>
                </c:pt>
                <c:pt idx="48">
                  <c:v>10.7</c:v>
                </c:pt>
                <c:pt idx="49">
                  <c:v>11.1</c:v>
                </c:pt>
                <c:pt idx="50">
                  <c:v>10.7</c:v>
                </c:pt>
                <c:pt idx="51">
                  <c:v>10.6</c:v>
                </c:pt>
                <c:pt idx="52">
                  <c:v>10.3</c:v>
                </c:pt>
                <c:pt idx="53">
                  <c:v>9.5</c:v>
                </c:pt>
                <c:pt idx="54">
                  <c:v>9.1</c:v>
                </c:pt>
                <c:pt idx="55">
                  <c:v>8.8000000000000007</c:v>
                </c:pt>
                <c:pt idx="56">
                  <c:v>9</c:v>
                </c:pt>
                <c:pt idx="57">
                  <c:v>9.1</c:v>
                </c:pt>
                <c:pt idx="58">
                  <c:v>9.9</c:v>
                </c:pt>
                <c:pt idx="59">
                  <c:v>10.1</c:v>
                </c:pt>
                <c:pt idx="60">
                  <c:v>10.7</c:v>
                </c:pt>
                <c:pt idx="61">
                  <c:v>11.2</c:v>
                </c:pt>
                <c:pt idx="62">
                  <c:v>11.7</c:v>
                </c:pt>
                <c:pt idx="63">
                  <c:v>12.9</c:v>
                </c:pt>
                <c:pt idx="64">
                  <c:v>12.7</c:v>
                </c:pt>
                <c:pt idx="65">
                  <c:v>12.4</c:v>
                </c:pt>
                <c:pt idx="66">
                  <c:v>12.4</c:v>
                </c:pt>
                <c:pt idx="67">
                  <c:v>12.3</c:v>
                </c:pt>
                <c:pt idx="68">
                  <c:v>12</c:v>
                </c:pt>
                <c:pt idx="69">
                  <c:v>11.5</c:v>
                </c:pt>
                <c:pt idx="70">
                  <c:v>11.2</c:v>
                </c:pt>
                <c:pt idx="71">
                  <c:v>11.2</c:v>
                </c:pt>
                <c:pt idx="72">
                  <c:v>10.6</c:v>
                </c:pt>
                <c:pt idx="73">
                  <c:v>10.7</c:v>
                </c:pt>
                <c:pt idx="74">
                  <c:v>10.4</c:v>
                </c:pt>
                <c:pt idx="75">
                  <c:v>10.3</c:v>
                </c:pt>
                <c:pt idx="76">
                  <c:v>10.1</c:v>
                </c:pt>
                <c:pt idx="77">
                  <c:v>9.3000000000000007</c:v>
                </c:pt>
                <c:pt idx="78">
                  <c:v>8.6</c:v>
                </c:pt>
                <c:pt idx="79">
                  <c:v>8.9</c:v>
                </c:pt>
                <c:pt idx="80">
                  <c:v>8.9</c:v>
                </c:pt>
                <c:pt idx="81">
                  <c:v>9.1</c:v>
                </c:pt>
                <c:pt idx="82">
                  <c:v>9.4</c:v>
                </c:pt>
                <c:pt idx="83">
                  <c:v>9.5</c:v>
                </c:pt>
                <c:pt idx="84">
                  <c:v>10.3</c:v>
                </c:pt>
                <c:pt idx="85">
                  <c:v>10.4</c:v>
                </c:pt>
                <c:pt idx="86">
                  <c:v>10.4</c:v>
                </c:pt>
                <c:pt idx="87">
                  <c:v>10.8</c:v>
                </c:pt>
                <c:pt idx="88">
                  <c:v>10.6</c:v>
                </c:pt>
                <c:pt idx="89">
                  <c:v>10.6</c:v>
                </c:pt>
                <c:pt idx="90">
                  <c:v>10.3</c:v>
                </c:pt>
                <c:pt idx="91">
                  <c:v>9.8000000000000007</c:v>
                </c:pt>
                <c:pt idx="92">
                  <c:v>9.6</c:v>
                </c:pt>
                <c:pt idx="93">
                  <c:v>9.5</c:v>
                </c:pt>
                <c:pt idx="94">
                  <c:v>9.5</c:v>
                </c:pt>
                <c:pt idx="95">
                  <c:v>9.1999999999999993</c:v>
                </c:pt>
                <c:pt idx="96">
                  <c:v>9.1</c:v>
                </c:pt>
                <c:pt idx="97">
                  <c:v>9.1</c:v>
                </c:pt>
                <c:pt idx="98">
                  <c:v>8.8000000000000007</c:v>
                </c:pt>
                <c:pt idx="99">
                  <c:v>8.4</c:v>
                </c:pt>
                <c:pt idx="100">
                  <c:v>8.1999999999999993</c:v>
                </c:pt>
                <c:pt idx="101">
                  <c:v>7.7</c:v>
                </c:pt>
                <c:pt idx="102">
                  <c:v>7.8</c:v>
                </c:pt>
                <c:pt idx="103">
                  <c:v>7.9</c:v>
                </c:pt>
                <c:pt idx="104">
                  <c:v>7.7</c:v>
                </c:pt>
                <c:pt idx="105">
                  <c:v>8.1999999999999993</c:v>
                </c:pt>
                <c:pt idx="106">
                  <c:v>8.5</c:v>
                </c:pt>
                <c:pt idx="107">
                  <c:v>9.3000000000000007</c:v>
                </c:pt>
                <c:pt idx="108">
                  <c:v>10</c:v>
                </c:pt>
                <c:pt idx="109">
                  <c:v>10.8</c:v>
                </c:pt>
                <c:pt idx="110">
                  <c:v>11.2</c:v>
                </c:pt>
                <c:pt idx="111">
                  <c:v>11.4</c:v>
                </c:pt>
                <c:pt idx="112">
                  <c:v>11.5</c:v>
                </c:pt>
                <c:pt idx="113">
                  <c:v>11.4</c:v>
                </c:pt>
                <c:pt idx="114">
                  <c:v>11.1</c:v>
                </c:pt>
                <c:pt idx="115">
                  <c:v>10.3</c:v>
                </c:pt>
                <c:pt idx="116">
                  <c:v>9.6999999999999993</c:v>
                </c:pt>
                <c:pt idx="117">
                  <c:v>9.5</c:v>
                </c:pt>
                <c:pt idx="118">
                  <c:v>9.6999999999999993</c:v>
                </c:pt>
                <c:pt idx="11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D-4597-A250-7BC3E96D9826}"/>
            </c:ext>
          </c:extLst>
        </c:ser>
        <c:ser>
          <c:idx val="1"/>
          <c:order val="1"/>
          <c:tx>
            <c:strRef>
              <c:f>'open-meteo-48.85N2.35E43m'!$D$1</c:f>
              <c:strCache>
                <c:ptCount val="1"/>
                <c:pt idx="0">
                  <c:v>T-int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'open-meteo-48.85N2.35E43m'!$D$2:$D$122</c:f>
              <c:numCache>
                <c:formatCode>0.00E+00</c:formatCode>
                <c:ptCount val="121"/>
                <c:pt idx="0" formatCode="General">
                  <c:v>20</c:v>
                </c:pt>
                <c:pt idx="1">
                  <c:v>19.863199999999999</c:v>
                </c:pt>
                <c:pt idx="2">
                  <c:v>19.716849919999998</c:v>
                </c:pt>
                <c:pt idx="3">
                  <c:v>19.569727281151998</c:v>
                </c:pt>
                <c:pt idx="4">
                  <c:v>19.42328320830341</c:v>
                </c:pt>
                <c:pt idx="5">
                  <c:v>19.27462793010384</c:v>
                </c:pt>
                <c:pt idx="6">
                  <c:v>19.125233287910344</c:v>
                </c:pt>
                <c:pt idx="7">
                  <c:v>18.970789928564436</c:v>
                </c:pt>
                <c:pt idx="8">
                  <c:v>18.81713055359311</c:v>
                </c:pt>
                <c:pt idx="9">
                  <c:v>18.868520373974608</c:v>
                </c:pt>
                <c:pt idx="10">
                  <c:v>18.911360013273946</c:v>
                </c:pt>
                <c:pt idx="11">
                  <c:v>18.950191626693492</c:v>
                </c:pt>
                <c:pt idx="12">
                  <c:v>18.995874374464279</c:v>
                </c:pt>
                <c:pt idx="13">
                  <c:v>19.045636396068424</c:v>
                </c:pt>
                <c:pt idx="14">
                  <c:v>19.094364680672722</c:v>
                </c:pt>
                <c:pt idx="15">
                  <c:v>19.133620186749944</c:v>
                </c:pt>
                <c:pt idx="16">
                  <c:v>19.186844422445755</c:v>
                </c:pt>
                <c:pt idx="17">
                  <c:v>19.2268418667223</c:v>
                </c:pt>
                <c:pt idx="18">
                  <c:v>19.253303807831486</c:v>
                </c:pt>
                <c:pt idx="19">
                  <c:v>19.271741547589045</c:v>
                </c:pt>
                <c:pt idx="20">
                  <c:v>19.279394990737735</c:v>
                </c:pt>
                <c:pt idx="21">
                  <c:v>19.157291702871113</c:v>
                </c:pt>
                <c:pt idx="22">
                  <c:v>19.042706702349768</c:v>
                </c:pt>
                <c:pt idx="23">
                  <c:v>18.928331725835932</c:v>
                </c:pt>
                <c:pt idx="24">
                  <c:v>18.796883748983895</c:v>
                </c:pt>
                <c:pt idx="25">
                  <c:v>18.658688622998525</c:v>
                </c:pt>
                <c:pt idx="26">
                  <c:v>18.516723506827347</c:v>
                </c:pt>
                <c:pt idx="27">
                  <c:v>18.373922688329035</c:v>
                </c:pt>
                <c:pt idx="28">
                  <c:v>18.234618201617096</c:v>
                </c:pt>
                <c:pt idx="29">
                  <c:v>18.09875969951381</c:v>
                </c:pt>
                <c:pt idx="30">
                  <c:v>17.964857559840812</c:v>
                </c:pt>
                <c:pt idx="31">
                  <c:v>17.831443610979104</c:v>
                </c:pt>
                <c:pt idx="32">
                  <c:v>17.704270822981005</c:v>
                </c:pt>
                <c:pt idx="33">
                  <c:v>17.993600574993497</c:v>
                </c:pt>
                <c:pt idx="34">
                  <c:v>18.231004623214762</c:v>
                </c:pt>
                <c:pt idx="35">
                  <c:v>18.425137324461812</c:v>
                </c:pt>
                <c:pt idx="36">
                  <c:v>18.587290628586434</c:v>
                </c:pt>
                <c:pt idx="37">
                  <c:v>18.722241330389231</c:v>
                </c:pt>
                <c:pt idx="38">
                  <c:v>18.829517615761564</c:v>
                </c:pt>
                <c:pt idx="39">
                  <c:v>18.920259391257517</c:v>
                </c:pt>
                <c:pt idx="40">
                  <c:v>19.023600965597055</c:v>
                </c:pt>
                <c:pt idx="41">
                  <c:v>19.096772937884989</c:v>
                </c:pt>
                <c:pt idx="42">
                  <c:v>19.151400278760146</c:v>
                </c:pt>
                <c:pt idx="43">
                  <c:v>19.198288064569173</c:v>
                </c:pt>
                <c:pt idx="44">
                  <c:v>19.227420864816924</c:v>
                </c:pt>
                <c:pt idx="45">
                  <c:v>19.107506004363561</c:v>
                </c:pt>
                <c:pt idx="46">
                  <c:v>18.989317917900724</c:v>
                </c:pt>
                <c:pt idx="47">
                  <c:v>18.865631739882954</c:v>
                </c:pt>
                <c:pt idx="48">
                  <c:v>18.750926642828638</c:v>
                </c:pt>
                <c:pt idx="49">
                  <c:v>18.634993299171907</c:v>
                </c:pt>
                <c:pt idx="50">
                  <c:v>18.52648939566383</c:v>
                </c:pt>
                <c:pt idx="51">
                  <c:v>18.41378794836627</c:v>
                </c:pt>
                <c:pt idx="52">
                  <c:v>18.301269401909796</c:v>
                </c:pt>
                <c:pt idx="53">
                  <c:v>18.186051122522294</c:v>
                </c:pt>
                <c:pt idx="54">
                  <c:v>18.060971986357973</c:v>
                </c:pt>
                <c:pt idx="55">
                  <c:v>17.93193398975442</c:v>
                </c:pt>
                <c:pt idx="56">
                  <c:v>17.800434140301956</c:v>
                </c:pt>
                <c:pt idx="57">
                  <c:v>18.069629743427257</c:v>
                </c:pt>
                <c:pt idx="58">
                  <c:v>18.287933721304999</c:v>
                </c:pt>
                <c:pt idx="59">
                  <c:v>18.475319405883308</c:v>
                </c:pt>
                <c:pt idx="60">
                  <c:v>18.629157313379594</c:v>
                </c:pt>
                <c:pt idx="61">
                  <c:v>18.761729131658601</c:v>
                </c:pt>
                <c:pt idx="62">
                  <c:v>18.875728988464168</c:v>
                </c:pt>
                <c:pt idx="63">
                  <c:v>18.974767273106735</c:v>
                </c:pt>
                <c:pt idx="64">
                  <c:v>19.071832515214787</c:v>
                </c:pt>
                <c:pt idx="65">
                  <c:v>19.147148274257031</c:v>
                </c:pt>
                <c:pt idx="66">
                  <c:v>19.203502649741463</c:v>
                </c:pt>
                <c:pt idx="67">
                  <c:v>19.248901734631723</c:v>
                </c:pt>
                <c:pt idx="68">
                  <c:v>19.284035237419317</c:v>
                </c:pt>
                <c:pt idx="69">
                  <c:v>19.179145130000478</c:v>
                </c:pt>
                <c:pt idx="70">
                  <c:v>19.06856544012847</c:v>
                </c:pt>
                <c:pt idx="71">
                  <c:v>18.955258097790619</c:v>
                </c:pt>
                <c:pt idx="72">
                  <c:v>18.843582381182433</c:v>
                </c:pt>
                <c:pt idx="73">
                  <c:v>18.724874794893406</c:v>
                </c:pt>
                <c:pt idx="74">
                  <c:v>18.609316597846941</c:v>
                </c:pt>
                <c:pt idx="75">
                  <c:v>18.491102438837945</c:v>
                </c:pt>
                <c:pt idx="76">
                  <c:v>18.373150563718678</c:v>
                </c:pt>
                <c:pt idx="77">
                  <c:v>18.254017195601129</c:v>
                </c:pt>
                <c:pt idx="78">
                  <c:v>18.125079347984475</c:v>
                </c:pt>
                <c:pt idx="79">
                  <c:v>17.987918205373497</c:v>
                </c:pt>
                <c:pt idx="80">
                  <c:v>17.857052183216119</c:v>
                </c:pt>
                <c:pt idx="81">
                  <c:v>18.113801238798906</c:v>
                </c:pt>
                <c:pt idx="82">
                  <c:v>18.323518277976397</c:v>
                </c:pt>
                <c:pt idx="83">
                  <c:v>18.496786324737787</c:v>
                </c:pt>
                <c:pt idx="84">
                  <c:v>18.637811063208762</c:v>
                </c:pt>
                <c:pt idx="85">
                  <c:v>18.76294059252098</c:v>
                </c:pt>
                <c:pt idx="86">
                  <c:v>18.865184941334903</c:v>
                </c:pt>
                <c:pt idx="87">
                  <c:v>18.947552988739396</c:v>
                </c:pt>
                <c:pt idx="88">
                  <c:v>19.019668687728458</c:v>
                </c:pt>
                <c:pt idx="89">
                  <c:v>19.074885094834045</c:v>
                </c:pt>
                <c:pt idx="90">
                  <c:v>19.119367432398306</c:v>
                </c:pt>
                <c:pt idx="91">
                  <c:v>19.150882403540077</c:v>
                </c:pt>
                <c:pt idx="92">
                  <c:v>19.169070864291886</c:v>
                </c:pt>
                <c:pt idx="93">
                  <c:v>19.031276243846083</c:v>
                </c:pt>
                <c:pt idx="94">
                  <c:v>18.894025865934701</c:v>
                </c:pt>
                <c:pt idx="95">
                  <c:v>18.758751893465242</c:v>
                </c:pt>
                <c:pt idx="96">
                  <c:v>18.621105866199343</c:v>
                </c:pt>
                <c:pt idx="97">
                  <c:v>18.484001941726074</c:v>
                </c:pt>
                <c:pt idx="98">
                  <c:v>18.34887231376522</c:v>
                </c:pt>
                <c:pt idx="99">
                  <c:v>18.211368552447002</c:v>
                </c:pt>
                <c:pt idx="100">
                  <c:v>18.070084845291767</c:v>
                </c:pt>
                <c:pt idx="101">
                  <c:v>17.927955623519566</c:v>
                </c:pt>
                <c:pt idx="102">
                  <c:v>17.780673062540885</c:v>
                </c:pt>
                <c:pt idx="103">
                  <c:v>17.636951370440297</c:v>
                </c:pt>
                <c:pt idx="104">
                  <c:v>17.496739270705955</c:v>
                </c:pt>
                <c:pt idx="105">
                  <c:v>17.806253156480718</c:v>
                </c:pt>
                <c:pt idx="106">
                  <c:v>18.062797542860867</c:v>
                </c:pt>
                <c:pt idx="107">
                  <c:v>18.273789700528713</c:v>
                </c:pt>
                <c:pt idx="108">
                  <c:v>18.45528498274593</c:v>
                </c:pt>
                <c:pt idx="109">
                  <c:v>18.611577582100121</c:v>
                </c:pt>
                <c:pt idx="110">
                  <c:v>18.749006900139857</c:v>
                </c:pt>
                <c:pt idx="111">
                  <c:v>18.865479958752669</c:v>
                </c:pt>
                <c:pt idx="112">
                  <c:v>18.962190654771149</c:v>
                </c:pt>
                <c:pt idx="113">
                  <c:v>19.041540791483637</c:v>
                </c:pt>
                <c:pt idx="114">
                  <c:v>19.104025261619217</c:v>
                </c:pt>
                <c:pt idx="115">
                  <c:v>19.150042750760441</c:v>
                </c:pt>
                <c:pt idx="116">
                  <c:v>19.175594440012613</c:v>
                </c:pt>
                <c:pt idx="117">
                  <c:v>19.039145880076433</c:v>
                </c:pt>
                <c:pt idx="118">
                  <c:v>18.90178217940333</c:v>
                </c:pt>
                <c:pt idx="119">
                  <c:v>18.769276516019922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D-4597-A250-7BC3E96D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8688"/>
        <c:axId val="543649168"/>
      </c:lineChart>
      <c:catAx>
        <c:axId val="543648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3649168"/>
        <c:crosses val="autoZero"/>
        <c:auto val="1"/>
        <c:lblAlgn val="ctr"/>
        <c:lblOffset val="100"/>
        <c:noMultiLvlLbl val="0"/>
      </c:catAx>
      <c:valAx>
        <c:axId val="54364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364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solidFill>
                  <a:schemeClr val="tx2"/>
                </a:solidFill>
              </a:rPr>
              <a:t>Dynamique de la puissance de chauffage</a:t>
            </a:r>
            <a:endParaRPr lang="en-US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47594050743656E-2"/>
          <c:y val="0.13467592592592595"/>
          <c:w val="0.85864129483814522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'open-meteo-48.85N2.35E43m'!$E$1</c:f>
              <c:strCache>
                <c:ptCount val="1"/>
                <c:pt idx="0">
                  <c:v>P_chauff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'open-meteo-48.85N2.35E43m'!$A$2:$A$122</c:f>
              <c:numCache>
                <c:formatCode>m/d/yyyy</c:formatCode>
                <c:ptCount val="121"/>
                <c:pt idx="0">
                  <c:v>46035</c:v>
                </c:pt>
                <c:pt idx="1">
                  <c:v>46035</c:v>
                </c:pt>
                <c:pt idx="2">
                  <c:v>46035</c:v>
                </c:pt>
                <c:pt idx="3">
                  <c:v>46035</c:v>
                </c:pt>
                <c:pt idx="4">
                  <c:v>46035</c:v>
                </c:pt>
                <c:pt idx="5">
                  <c:v>46035</c:v>
                </c:pt>
                <c:pt idx="6">
                  <c:v>46035</c:v>
                </c:pt>
                <c:pt idx="7">
                  <c:v>46035</c:v>
                </c:pt>
                <c:pt idx="8">
                  <c:v>46035</c:v>
                </c:pt>
                <c:pt idx="9">
                  <c:v>46035</c:v>
                </c:pt>
                <c:pt idx="10">
                  <c:v>46035</c:v>
                </c:pt>
                <c:pt idx="11">
                  <c:v>46035</c:v>
                </c:pt>
                <c:pt idx="12">
                  <c:v>46035</c:v>
                </c:pt>
                <c:pt idx="13">
                  <c:v>46035</c:v>
                </c:pt>
                <c:pt idx="14">
                  <c:v>46035</c:v>
                </c:pt>
                <c:pt idx="15">
                  <c:v>46035</c:v>
                </c:pt>
                <c:pt idx="16">
                  <c:v>46035</c:v>
                </c:pt>
                <c:pt idx="17">
                  <c:v>46035</c:v>
                </c:pt>
                <c:pt idx="18">
                  <c:v>46035</c:v>
                </c:pt>
                <c:pt idx="19">
                  <c:v>46035</c:v>
                </c:pt>
                <c:pt idx="20">
                  <c:v>46035</c:v>
                </c:pt>
                <c:pt idx="21">
                  <c:v>46035</c:v>
                </c:pt>
                <c:pt idx="22">
                  <c:v>46035</c:v>
                </c:pt>
                <c:pt idx="23">
                  <c:v>46035</c:v>
                </c:pt>
                <c:pt idx="24">
                  <c:v>46036</c:v>
                </c:pt>
                <c:pt idx="25">
                  <c:v>46036</c:v>
                </c:pt>
                <c:pt idx="26">
                  <c:v>46036</c:v>
                </c:pt>
                <c:pt idx="27">
                  <c:v>46036</c:v>
                </c:pt>
                <c:pt idx="28">
                  <c:v>46036</c:v>
                </c:pt>
                <c:pt idx="29">
                  <c:v>46036</c:v>
                </c:pt>
                <c:pt idx="30">
                  <c:v>46036</c:v>
                </c:pt>
                <c:pt idx="31">
                  <c:v>46036</c:v>
                </c:pt>
                <c:pt idx="32">
                  <c:v>46036</c:v>
                </c:pt>
                <c:pt idx="33">
                  <c:v>46036</c:v>
                </c:pt>
                <c:pt idx="34">
                  <c:v>46036</c:v>
                </c:pt>
                <c:pt idx="35">
                  <c:v>46036</c:v>
                </c:pt>
                <c:pt idx="36">
                  <c:v>46036</c:v>
                </c:pt>
                <c:pt idx="37">
                  <c:v>46036</c:v>
                </c:pt>
                <c:pt idx="38">
                  <c:v>46036</c:v>
                </c:pt>
                <c:pt idx="39">
                  <c:v>46036</c:v>
                </c:pt>
                <c:pt idx="40">
                  <c:v>46036</c:v>
                </c:pt>
                <c:pt idx="41">
                  <c:v>46036</c:v>
                </c:pt>
                <c:pt idx="42">
                  <c:v>46036</c:v>
                </c:pt>
                <c:pt idx="43">
                  <c:v>46036</c:v>
                </c:pt>
                <c:pt idx="44">
                  <c:v>46036</c:v>
                </c:pt>
                <c:pt idx="45">
                  <c:v>46036</c:v>
                </c:pt>
                <c:pt idx="46">
                  <c:v>46036</c:v>
                </c:pt>
                <c:pt idx="47">
                  <c:v>46036</c:v>
                </c:pt>
                <c:pt idx="48">
                  <c:v>46037</c:v>
                </c:pt>
                <c:pt idx="49">
                  <c:v>46037</c:v>
                </c:pt>
                <c:pt idx="50">
                  <c:v>46037</c:v>
                </c:pt>
                <c:pt idx="51">
                  <c:v>46037</c:v>
                </c:pt>
                <c:pt idx="52">
                  <c:v>46037</c:v>
                </c:pt>
                <c:pt idx="53">
                  <c:v>46037</c:v>
                </c:pt>
                <c:pt idx="54">
                  <c:v>46037</c:v>
                </c:pt>
                <c:pt idx="55">
                  <c:v>46037</c:v>
                </c:pt>
                <c:pt idx="56">
                  <c:v>46037</c:v>
                </c:pt>
                <c:pt idx="57">
                  <c:v>46037</c:v>
                </c:pt>
                <c:pt idx="58">
                  <c:v>46037</c:v>
                </c:pt>
                <c:pt idx="59">
                  <c:v>46037</c:v>
                </c:pt>
                <c:pt idx="60">
                  <c:v>46037</c:v>
                </c:pt>
                <c:pt idx="61">
                  <c:v>46037</c:v>
                </c:pt>
                <c:pt idx="62">
                  <c:v>46037</c:v>
                </c:pt>
                <c:pt idx="63">
                  <c:v>46037</c:v>
                </c:pt>
                <c:pt idx="64">
                  <c:v>46037</c:v>
                </c:pt>
                <c:pt idx="65">
                  <c:v>46037</c:v>
                </c:pt>
                <c:pt idx="66">
                  <c:v>46037</c:v>
                </c:pt>
                <c:pt idx="67">
                  <c:v>46037</c:v>
                </c:pt>
                <c:pt idx="68">
                  <c:v>46037</c:v>
                </c:pt>
                <c:pt idx="69">
                  <c:v>46037</c:v>
                </c:pt>
                <c:pt idx="70">
                  <c:v>46037</c:v>
                </c:pt>
                <c:pt idx="71">
                  <c:v>46037</c:v>
                </c:pt>
                <c:pt idx="72">
                  <c:v>46038</c:v>
                </c:pt>
                <c:pt idx="73">
                  <c:v>46038</c:v>
                </c:pt>
                <c:pt idx="74">
                  <c:v>46038</c:v>
                </c:pt>
                <c:pt idx="75">
                  <c:v>46038</c:v>
                </c:pt>
                <c:pt idx="76">
                  <c:v>46038</c:v>
                </c:pt>
                <c:pt idx="77">
                  <c:v>46038</c:v>
                </c:pt>
                <c:pt idx="78">
                  <c:v>46038</c:v>
                </c:pt>
                <c:pt idx="79">
                  <c:v>46038</c:v>
                </c:pt>
                <c:pt idx="80">
                  <c:v>46038</c:v>
                </c:pt>
                <c:pt idx="81">
                  <c:v>46038</c:v>
                </c:pt>
                <c:pt idx="82">
                  <c:v>46038</c:v>
                </c:pt>
                <c:pt idx="83">
                  <c:v>46038</c:v>
                </c:pt>
                <c:pt idx="84">
                  <c:v>46038</c:v>
                </c:pt>
                <c:pt idx="85">
                  <c:v>46038</c:v>
                </c:pt>
                <c:pt idx="86">
                  <c:v>46038</c:v>
                </c:pt>
                <c:pt idx="87">
                  <c:v>46038</c:v>
                </c:pt>
                <c:pt idx="88">
                  <c:v>46038</c:v>
                </c:pt>
                <c:pt idx="89">
                  <c:v>46038</c:v>
                </c:pt>
                <c:pt idx="90">
                  <c:v>46038</c:v>
                </c:pt>
                <c:pt idx="91">
                  <c:v>46038</c:v>
                </c:pt>
                <c:pt idx="92">
                  <c:v>46038</c:v>
                </c:pt>
                <c:pt idx="93">
                  <c:v>46038</c:v>
                </c:pt>
                <c:pt idx="94">
                  <c:v>46038</c:v>
                </c:pt>
                <c:pt idx="95">
                  <c:v>46038</c:v>
                </c:pt>
                <c:pt idx="96">
                  <c:v>46039</c:v>
                </c:pt>
                <c:pt idx="97">
                  <c:v>46039</c:v>
                </c:pt>
                <c:pt idx="98">
                  <c:v>46039</c:v>
                </c:pt>
                <c:pt idx="99">
                  <c:v>46039</c:v>
                </c:pt>
                <c:pt idx="100">
                  <c:v>46039</c:v>
                </c:pt>
                <c:pt idx="101">
                  <c:v>46039</c:v>
                </c:pt>
                <c:pt idx="102">
                  <c:v>46039</c:v>
                </c:pt>
                <c:pt idx="103">
                  <c:v>46039</c:v>
                </c:pt>
                <c:pt idx="104">
                  <c:v>46039</c:v>
                </c:pt>
                <c:pt idx="105">
                  <c:v>46039</c:v>
                </c:pt>
                <c:pt idx="106">
                  <c:v>46039</c:v>
                </c:pt>
                <c:pt idx="107">
                  <c:v>46039</c:v>
                </c:pt>
                <c:pt idx="108">
                  <c:v>46039</c:v>
                </c:pt>
                <c:pt idx="109">
                  <c:v>46039</c:v>
                </c:pt>
                <c:pt idx="110">
                  <c:v>46039</c:v>
                </c:pt>
                <c:pt idx="111">
                  <c:v>46039</c:v>
                </c:pt>
                <c:pt idx="112">
                  <c:v>46039</c:v>
                </c:pt>
                <c:pt idx="113">
                  <c:v>46039</c:v>
                </c:pt>
                <c:pt idx="114">
                  <c:v>46039</c:v>
                </c:pt>
                <c:pt idx="115">
                  <c:v>46039</c:v>
                </c:pt>
                <c:pt idx="116">
                  <c:v>46039</c:v>
                </c:pt>
                <c:pt idx="117">
                  <c:v>46039</c:v>
                </c:pt>
                <c:pt idx="118">
                  <c:v>46039</c:v>
                </c:pt>
                <c:pt idx="119">
                  <c:v>46039</c:v>
                </c:pt>
              </c:numCache>
            </c:numRef>
          </c:xVal>
          <c:yVal>
            <c:numRef>
              <c:f>'open-meteo-48.85N2.35E43m'!$E$2:$E$122</c:f>
              <c:numCache>
                <c:formatCode>General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5914.3472320344517</c:v>
                </c:pt>
                <c:pt idx="9">
                  <c:v>5657.3981301269605</c:v>
                </c:pt>
                <c:pt idx="10">
                  <c:v>5443.1999336302715</c:v>
                </c:pt>
                <c:pt idx="11">
                  <c:v>5249.0418665325396</c:v>
                </c:pt>
                <c:pt idx="12">
                  <c:v>5020.6281276786058</c:v>
                </c:pt>
                <c:pt idx="13">
                  <c:v>4771.8180196578787</c:v>
                </c:pt>
                <c:pt idx="14">
                  <c:v>4528.1765966363882</c:v>
                </c:pt>
                <c:pt idx="15">
                  <c:v>4331.8990662502802</c:v>
                </c:pt>
                <c:pt idx="16">
                  <c:v>4065.7778877712226</c:v>
                </c:pt>
                <c:pt idx="17">
                  <c:v>3865.7906663885024</c:v>
                </c:pt>
                <c:pt idx="18">
                  <c:v>3733.4809608425703</c:v>
                </c:pt>
                <c:pt idx="19">
                  <c:v>3641.2922620547761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11478.645885094973</c:v>
                </c:pt>
                <c:pt idx="33">
                  <c:v>10031.997125032514</c:v>
                </c:pt>
                <c:pt idx="34">
                  <c:v>8844.9768839261906</c:v>
                </c:pt>
                <c:pt idx="35">
                  <c:v>7874.3133776909426</c:v>
                </c:pt>
                <c:pt idx="36">
                  <c:v>7063.5468570678304</c:v>
                </c:pt>
                <c:pt idx="37">
                  <c:v>6388.793348053845</c:v>
                </c:pt>
                <c:pt idx="38">
                  <c:v>5852.4119211921825</c:v>
                </c:pt>
                <c:pt idx="39">
                  <c:v>5398.7030437124158</c:v>
                </c:pt>
                <c:pt idx="40">
                  <c:v>4881.9951720147255</c:v>
                </c:pt>
                <c:pt idx="41">
                  <c:v>4516.1353105750559</c:v>
                </c:pt>
                <c:pt idx="42">
                  <c:v>4242.9986061992686</c:v>
                </c:pt>
                <c:pt idx="43">
                  <c:v>4008.5596771541354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10997.82929849022</c:v>
                </c:pt>
                <c:pt idx="57">
                  <c:v>9651.8512828637176</c:v>
                </c:pt>
                <c:pt idx="58">
                  <c:v>8560.3313934750076</c:v>
                </c:pt>
                <c:pt idx="59">
                  <c:v>7623.4029705834591</c:v>
                </c:pt>
                <c:pt idx="60">
                  <c:v>6854.2134331020325</c:v>
                </c:pt>
                <c:pt idx="61">
                  <c:v>6191.3543417069941</c:v>
                </c:pt>
                <c:pt idx="62">
                  <c:v>5621.3550576791604</c:v>
                </c:pt>
                <c:pt idx="63">
                  <c:v>5126.1636344663229</c:v>
                </c:pt>
                <c:pt idx="64">
                  <c:v>4640.8374239260656</c:v>
                </c:pt>
                <c:pt idx="65">
                  <c:v>4264.2586287148451</c:v>
                </c:pt>
                <c:pt idx="66">
                  <c:v>3982.4867512926867</c:v>
                </c:pt>
                <c:pt idx="67">
                  <c:v>3755.491326841387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10714.739083919405</c:v>
                </c:pt>
                <c:pt idx="81">
                  <c:v>9430.9938060054683</c:v>
                </c:pt>
                <c:pt idx="82">
                  <c:v>8382.4086101180128</c:v>
                </c:pt>
                <c:pt idx="83">
                  <c:v>7516.0683763110646</c:v>
                </c:pt>
                <c:pt idx="84">
                  <c:v>6810.9446839561906</c:v>
                </c:pt>
                <c:pt idx="85">
                  <c:v>6185.2970373950984</c:v>
                </c:pt>
                <c:pt idx="86">
                  <c:v>5674.0752933254871</c:v>
                </c:pt>
                <c:pt idx="87">
                  <c:v>5262.2350563030195</c:v>
                </c:pt>
                <c:pt idx="88">
                  <c:v>4901.6565613577077</c:v>
                </c:pt>
                <c:pt idx="89">
                  <c:v>4625.5745258297766</c:v>
                </c:pt>
                <c:pt idx="90">
                  <c:v>4403.1628380084694</c:v>
                </c:pt>
                <c:pt idx="91">
                  <c:v>4245.5879822996149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12516.303646470224</c:v>
                </c:pt>
                <c:pt idx="105">
                  <c:v>10968.73421759641</c:v>
                </c:pt>
                <c:pt idx="106">
                  <c:v>9686.0122856956641</c:v>
                </c:pt>
                <c:pt idx="107">
                  <c:v>8631.051497356435</c:v>
                </c:pt>
                <c:pt idx="108">
                  <c:v>7723.5750862703508</c:v>
                </c:pt>
                <c:pt idx="109">
                  <c:v>6942.1120894993928</c:v>
                </c:pt>
                <c:pt idx="110">
                  <c:v>6254.9654993007134</c:v>
                </c:pt>
                <c:pt idx="111">
                  <c:v>5672.6002062366551</c:v>
                </c:pt>
                <c:pt idx="112">
                  <c:v>5189.0467261442554</c:v>
                </c:pt>
                <c:pt idx="113">
                  <c:v>4792.2960425818137</c:v>
                </c:pt>
                <c:pt idx="114">
                  <c:v>4479.8736919039147</c:v>
                </c:pt>
                <c:pt idx="115">
                  <c:v>4249.7862461977929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12-4C24-BA17-B8D5A01ED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590367"/>
        <c:axId val="2039590847"/>
      </c:scatterChart>
      <c:valAx>
        <c:axId val="20395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9590847"/>
        <c:crosses val="autoZero"/>
        <c:crossBetween val="midCat"/>
      </c:valAx>
      <c:valAx>
        <c:axId val="20395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959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410754</xdr:colOff>
      <xdr:row>6</xdr:row>
      <xdr:rowOff>163011</xdr:rowOff>
    </xdr:from>
    <xdr:to>
      <xdr:col>18</xdr:col>
      <xdr:colOff>431460</xdr:colOff>
      <xdr:row>21</xdr:row>
      <xdr:rowOff>127615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899793-F4F7-51CB-E8EB-ABC42C52A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59267</xdr:colOff>
      <xdr:row>22</xdr:row>
      <xdr:rowOff>96351</xdr:rowOff>
    </xdr:from>
    <xdr:to>
      <xdr:col>20</xdr:col>
      <xdr:colOff>319412</xdr:colOff>
      <xdr:row>39</xdr:row>
      <xdr:rowOff>84667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350FE3D-FDB3-6984-3DAC-61B22D99D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5E17-7C3D-4355-BE97-EE04DE512ECF}">
  <dimension ref="A1:O122"/>
  <sheetViews>
    <sheetView tabSelected="1" zoomScale="64" workbookViewId="0">
      <selection activeCell="M10" sqref="M10"/>
    </sheetView>
  </sheetViews>
  <sheetFormatPr baseColWidth="10" defaultRowHeight="14.5" x14ac:dyDescent="0.35"/>
  <sheetData>
    <row r="1" spans="1:15" x14ac:dyDescent="0.35">
      <c r="A1" t="s">
        <v>0</v>
      </c>
      <c r="B1" t="s">
        <v>20</v>
      </c>
      <c r="C1" t="s">
        <v>1</v>
      </c>
      <c r="D1" t="s">
        <v>2</v>
      </c>
      <c r="E1" t="s">
        <v>17</v>
      </c>
      <c r="F1" t="s">
        <v>3</v>
      </c>
      <c r="G1" t="s">
        <v>18</v>
      </c>
      <c r="H1" t="s">
        <v>19</v>
      </c>
      <c r="I1" t="s">
        <v>21</v>
      </c>
      <c r="J1" t="s">
        <v>22</v>
      </c>
      <c r="K1" t="s">
        <v>23</v>
      </c>
      <c r="M1" t="s">
        <v>6</v>
      </c>
      <c r="N1" t="s">
        <v>7</v>
      </c>
      <c r="O1" t="s">
        <v>8</v>
      </c>
    </row>
    <row r="2" spans="1:15" x14ac:dyDescent="0.35">
      <c r="A2" s="2">
        <v>46035</v>
      </c>
      <c r="B2" s="3">
        <v>0</v>
      </c>
      <c r="C2">
        <v>10.5</v>
      </c>
      <c r="D2">
        <v>20</v>
      </c>
      <c r="E2">
        <f>MAX(0,MIN($N$5,$N$6*(J2-D2)))</f>
        <v>0</v>
      </c>
      <c r="F2">
        <f t="shared" ref="F2:F33" si="0">(C2-D2)/$N$2</f>
        <v>-3800</v>
      </c>
      <c r="G2">
        <f>10000+E2</f>
        <v>10000</v>
      </c>
      <c r="H2">
        <f>G2/1000</f>
        <v>10</v>
      </c>
      <c r="I2">
        <f>HOUR(B2)</f>
        <v>0</v>
      </c>
      <c r="J2">
        <f>IF(AND(I2&gt;=8,I2&lt;=19),20,17)</f>
        <v>17</v>
      </c>
      <c r="K2">
        <v>10</v>
      </c>
      <c r="M2" t="s">
        <v>5</v>
      </c>
      <c r="N2">
        <v>2.5000000000000001E-3</v>
      </c>
      <c r="O2" t="s">
        <v>12</v>
      </c>
    </row>
    <row r="3" spans="1:15" x14ac:dyDescent="0.35">
      <c r="A3" s="2">
        <v>46035</v>
      </c>
      <c r="B3" s="3">
        <v>4.1666666666666664E-2</v>
      </c>
      <c r="C3">
        <v>9.6999999999999993</v>
      </c>
      <c r="D3" s="1">
        <f t="shared" ref="D3:D34" si="1">D2+$N$4*((C2-D2)/($N$2*$N$3)+(E2)/$N$3)</f>
        <v>19.863199999999999</v>
      </c>
      <c r="E3">
        <f t="shared" ref="E3:E66" si="2">MAX(0,MIN($N$5,$N$6*(J3-D3)))</f>
        <v>0</v>
      </c>
      <c r="F3">
        <f t="shared" si="0"/>
        <v>-4065.2799999999997</v>
      </c>
      <c r="G3">
        <f t="shared" ref="G3:G66" si="3">10000+E3</f>
        <v>10000</v>
      </c>
      <c r="H3">
        <f t="shared" ref="H3:H66" si="4">G3/1000</f>
        <v>10</v>
      </c>
      <c r="I3">
        <f t="shared" ref="I3:I66" si="5">HOUR(B3)</f>
        <v>1</v>
      </c>
      <c r="J3">
        <f t="shared" ref="J3:J66" si="6">IF(AND(I3&gt;=8,I3&lt;=19),20,17)</f>
        <v>17</v>
      </c>
      <c r="K3">
        <f>K2+H3</f>
        <v>20</v>
      </c>
      <c r="M3" t="s">
        <v>9</v>
      </c>
      <c r="N3" s="1">
        <v>100000000</v>
      </c>
      <c r="O3" t="s">
        <v>10</v>
      </c>
    </row>
    <row r="4" spans="1:15" x14ac:dyDescent="0.35">
      <c r="A4" s="2">
        <v>46035</v>
      </c>
      <c r="B4" s="3">
        <v>8.3333333333333329E-2</v>
      </c>
      <c r="C4">
        <v>9.5</v>
      </c>
      <c r="D4" s="1">
        <f t="shared" si="1"/>
        <v>19.716849919999998</v>
      </c>
      <c r="E4">
        <f t="shared" si="2"/>
        <v>0</v>
      </c>
      <c r="F4">
        <f t="shared" si="0"/>
        <v>-4086.739967999999</v>
      </c>
      <c r="G4">
        <f t="shared" si="3"/>
        <v>10000</v>
      </c>
      <c r="H4">
        <f t="shared" si="4"/>
        <v>10</v>
      </c>
      <c r="I4">
        <f t="shared" si="5"/>
        <v>2</v>
      </c>
      <c r="J4">
        <f t="shared" si="6"/>
        <v>17</v>
      </c>
      <c r="K4">
        <f t="shared" ref="K4:K67" si="7">K3+H4</f>
        <v>30</v>
      </c>
      <c r="M4" t="s">
        <v>4</v>
      </c>
      <c r="N4">
        <v>3600</v>
      </c>
      <c r="O4" t="s">
        <v>11</v>
      </c>
    </row>
    <row r="5" spans="1:15" x14ac:dyDescent="0.35">
      <c r="A5" s="2">
        <v>46035</v>
      </c>
      <c r="B5" s="3">
        <v>0.125</v>
      </c>
      <c r="C5">
        <v>9.4</v>
      </c>
      <c r="D5" s="1">
        <f t="shared" si="1"/>
        <v>19.569727281151998</v>
      </c>
      <c r="E5">
        <f t="shared" si="2"/>
        <v>0</v>
      </c>
      <c r="F5">
        <f t="shared" si="0"/>
        <v>-4067.890912460799</v>
      </c>
      <c r="G5">
        <f t="shared" si="3"/>
        <v>10000</v>
      </c>
      <c r="H5">
        <f t="shared" si="4"/>
        <v>10</v>
      </c>
      <c r="I5">
        <f t="shared" si="5"/>
        <v>3</v>
      </c>
      <c r="J5">
        <f t="shared" si="6"/>
        <v>17</v>
      </c>
      <c r="K5">
        <f t="shared" si="7"/>
        <v>40</v>
      </c>
      <c r="M5" t="s">
        <v>13</v>
      </c>
      <c r="N5">
        <v>50000</v>
      </c>
      <c r="O5" t="s">
        <v>15</v>
      </c>
    </row>
    <row r="6" spans="1:15" x14ac:dyDescent="0.35">
      <c r="A6" s="2">
        <v>46035</v>
      </c>
      <c r="B6" s="3">
        <v>0.16666666666666666</v>
      </c>
      <c r="C6">
        <v>9.1</v>
      </c>
      <c r="D6" s="1">
        <f t="shared" si="1"/>
        <v>19.42328320830341</v>
      </c>
      <c r="E6">
        <f t="shared" si="2"/>
        <v>0</v>
      </c>
      <c r="F6">
        <f t="shared" si="0"/>
        <v>-4129.313283321364</v>
      </c>
      <c r="G6">
        <f t="shared" si="3"/>
        <v>10000</v>
      </c>
      <c r="H6">
        <f t="shared" si="4"/>
        <v>10</v>
      </c>
      <c r="I6">
        <f t="shared" si="5"/>
        <v>4</v>
      </c>
      <c r="J6">
        <f t="shared" si="6"/>
        <v>17</v>
      </c>
      <c r="K6">
        <f t="shared" si="7"/>
        <v>50</v>
      </c>
      <c r="M6" t="s">
        <v>14</v>
      </c>
      <c r="N6">
        <v>5000</v>
      </c>
      <c r="O6" t="s">
        <v>16</v>
      </c>
    </row>
    <row r="7" spans="1:15" x14ac:dyDescent="0.35">
      <c r="A7" s="2">
        <v>46035</v>
      </c>
      <c r="B7" s="3">
        <v>0.20833333333333334</v>
      </c>
      <c r="C7">
        <v>8.9</v>
      </c>
      <c r="D7" s="1">
        <f t="shared" si="1"/>
        <v>19.27462793010384</v>
      </c>
      <c r="E7">
        <f t="shared" si="2"/>
        <v>0</v>
      </c>
      <c r="F7">
        <f t="shared" si="0"/>
        <v>-4149.8511720415354</v>
      </c>
      <c r="G7">
        <f t="shared" si="3"/>
        <v>10000</v>
      </c>
      <c r="H7">
        <f t="shared" si="4"/>
        <v>10</v>
      </c>
      <c r="I7">
        <f t="shared" si="5"/>
        <v>5</v>
      </c>
      <c r="J7">
        <f t="shared" si="6"/>
        <v>17</v>
      </c>
      <c r="K7">
        <f t="shared" si="7"/>
        <v>60</v>
      </c>
    </row>
    <row r="8" spans="1:15" x14ac:dyDescent="0.35">
      <c r="A8" s="2">
        <v>46035</v>
      </c>
      <c r="B8" s="3">
        <v>0.25</v>
      </c>
      <c r="C8">
        <v>8.4</v>
      </c>
      <c r="D8" s="1">
        <f t="shared" si="1"/>
        <v>19.125233287910344</v>
      </c>
      <c r="E8">
        <f t="shared" si="2"/>
        <v>0</v>
      </c>
      <c r="F8">
        <f t="shared" si="0"/>
        <v>-4290.0933151641375</v>
      </c>
      <c r="G8">
        <f t="shared" si="3"/>
        <v>10000</v>
      </c>
      <c r="H8">
        <f t="shared" si="4"/>
        <v>10</v>
      </c>
      <c r="I8">
        <f t="shared" si="5"/>
        <v>6</v>
      </c>
      <c r="J8">
        <f t="shared" si="6"/>
        <v>17</v>
      </c>
      <c r="K8">
        <f t="shared" si="7"/>
        <v>70</v>
      </c>
    </row>
    <row r="9" spans="1:15" x14ac:dyDescent="0.35">
      <c r="A9" s="2">
        <v>46035</v>
      </c>
      <c r="B9" s="3">
        <v>0.29166666666666669</v>
      </c>
      <c r="C9">
        <v>8.3000000000000007</v>
      </c>
      <c r="D9" s="1">
        <f t="shared" si="1"/>
        <v>18.970789928564436</v>
      </c>
      <c r="E9">
        <f t="shared" si="2"/>
        <v>0</v>
      </c>
      <c r="F9">
        <f t="shared" si="0"/>
        <v>-4268.3159714257736</v>
      </c>
      <c r="G9">
        <f t="shared" si="3"/>
        <v>10000</v>
      </c>
      <c r="H9">
        <f t="shared" si="4"/>
        <v>10</v>
      </c>
      <c r="I9">
        <f t="shared" si="5"/>
        <v>7</v>
      </c>
      <c r="J9">
        <f t="shared" si="6"/>
        <v>17</v>
      </c>
      <c r="K9">
        <f t="shared" si="7"/>
        <v>80</v>
      </c>
    </row>
    <row r="10" spans="1:15" x14ac:dyDescent="0.35">
      <c r="A10" s="2">
        <v>46035</v>
      </c>
      <c r="B10" s="3">
        <v>0.33333333333333331</v>
      </c>
      <c r="C10">
        <v>7.6</v>
      </c>
      <c r="D10" s="1">
        <f t="shared" si="1"/>
        <v>18.81713055359311</v>
      </c>
      <c r="E10">
        <f t="shared" si="2"/>
        <v>5914.3472320344517</v>
      </c>
      <c r="F10">
        <f t="shared" si="0"/>
        <v>-4486.8522214372442</v>
      </c>
      <c r="G10">
        <f t="shared" si="3"/>
        <v>15914.347232034452</v>
      </c>
      <c r="H10">
        <f t="shared" si="4"/>
        <v>15.914347232034451</v>
      </c>
      <c r="I10">
        <f t="shared" si="5"/>
        <v>8</v>
      </c>
      <c r="J10">
        <f t="shared" si="6"/>
        <v>20</v>
      </c>
      <c r="K10">
        <f t="shared" si="7"/>
        <v>95.914347232034459</v>
      </c>
    </row>
    <row r="11" spans="1:15" x14ac:dyDescent="0.35">
      <c r="A11" s="2">
        <v>46035</v>
      </c>
      <c r="B11" s="3">
        <v>0.375</v>
      </c>
      <c r="C11">
        <v>7.7</v>
      </c>
      <c r="D11" s="1">
        <f t="shared" si="1"/>
        <v>18.868520373974608</v>
      </c>
      <c r="E11">
        <f t="shared" si="2"/>
        <v>5657.3981301269605</v>
      </c>
      <c r="F11">
        <f t="shared" si="0"/>
        <v>-4467.4081495898436</v>
      </c>
      <c r="G11">
        <f t="shared" si="3"/>
        <v>15657.39813012696</v>
      </c>
      <c r="H11">
        <f t="shared" si="4"/>
        <v>15.65739813012696</v>
      </c>
      <c r="I11">
        <f t="shared" si="5"/>
        <v>9</v>
      </c>
      <c r="J11">
        <f t="shared" si="6"/>
        <v>20</v>
      </c>
      <c r="K11">
        <f t="shared" si="7"/>
        <v>111.57174536216142</v>
      </c>
    </row>
    <row r="12" spans="1:15" x14ac:dyDescent="0.35">
      <c r="A12" s="2">
        <v>46035</v>
      </c>
      <c r="B12" s="3">
        <v>0.41666666666666669</v>
      </c>
      <c r="C12">
        <v>8</v>
      </c>
      <c r="D12" s="1">
        <f t="shared" si="1"/>
        <v>18.911360013273946</v>
      </c>
      <c r="E12">
        <f t="shared" si="2"/>
        <v>5443.1999336302715</v>
      </c>
      <c r="F12">
        <f t="shared" si="0"/>
        <v>-4364.5440053095781</v>
      </c>
      <c r="G12">
        <f t="shared" si="3"/>
        <v>15443.199933630272</v>
      </c>
      <c r="H12">
        <f t="shared" si="4"/>
        <v>15.443199933630272</v>
      </c>
      <c r="I12">
        <f t="shared" si="5"/>
        <v>10</v>
      </c>
      <c r="J12">
        <f t="shared" si="6"/>
        <v>20</v>
      </c>
      <c r="K12">
        <f t="shared" si="7"/>
        <v>127.01494529579169</v>
      </c>
    </row>
    <row r="13" spans="1:15" x14ac:dyDescent="0.35">
      <c r="A13" s="2">
        <v>46035</v>
      </c>
      <c r="B13" s="3">
        <v>0.45833333333333331</v>
      </c>
      <c r="C13">
        <v>9</v>
      </c>
      <c r="D13" s="1">
        <f t="shared" si="1"/>
        <v>18.950191626693492</v>
      </c>
      <c r="E13">
        <f t="shared" si="2"/>
        <v>5249.0418665325396</v>
      </c>
      <c r="F13">
        <f t="shared" si="0"/>
        <v>-3980.0766506773966</v>
      </c>
      <c r="G13">
        <f t="shared" si="3"/>
        <v>15249.04186653254</v>
      </c>
      <c r="H13">
        <f t="shared" si="4"/>
        <v>15.24904186653254</v>
      </c>
      <c r="I13">
        <f t="shared" si="5"/>
        <v>11</v>
      </c>
      <c r="J13">
        <f t="shared" si="6"/>
        <v>20</v>
      </c>
      <c r="K13">
        <f t="shared" si="7"/>
        <v>142.26398716232424</v>
      </c>
    </row>
    <row r="14" spans="1:15" x14ac:dyDescent="0.35">
      <c r="A14" s="2">
        <v>46035</v>
      </c>
      <c r="B14" s="3">
        <v>0.5</v>
      </c>
      <c r="C14">
        <v>9.9</v>
      </c>
      <c r="D14" s="1">
        <f t="shared" si="1"/>
        <v>18.995874374464279</v>
      </c>
      <c r="E14">
        <f t="shared" si="2"/>
        <v>5020.6281276786058</v>
      </c>
      <c r="F14">
        <f t="shared" si="0"/>
        <v>-3638.3497497857115</v>
      </c>
      <c r="G14">
        <f t="shared" si="3"/>
        <v>15020.628127678607</v>
      </c>
      <c r="H14">
        <f t="shared" si="4"/>
        <v>15.020628127678608</v>
      </c>
      <c r="I14">
        <f t="shared" si="5"/>
        <v>12</v>
      </c>
      <c r="J14">
        <f t="shared" si="6"/>
        <v>20</v>
      </c>
      <c r="K14">
        <f t="shared" si="7"/>
        <v>157.28461529000285</v>
      </c>
    </row>
    <row r="15" spans="1:15" x14ac:dyDescent="0.35">
      <c r="A15" s="2">
        <v>46035</v>
      </c>
      <c r="B15" s="3">
        <v>0.54166666666666663</v>
      </c>
      <c r="C15">
        <v>10.5</v>
      </c>
      <c r="D15" s="1">
        <f t="shared" si="1"/>
        <v>19.045636396068424</v>
      </c>
      <c r="E15">
        <f t="shared" si="2"/>
        <v>4771.8180196578787</v>
      </c>
      <c r="F15">
        <f t="shared" si="0"/>
        <v>-3418.2545584273698</v>
      </c>
      <c r="G15">
        <f t="shared" si="3"/>
        <v>14771.81801965788</v>
      </c>
      <c r="H15">
        <f t="shared" si="4"/>
        <v>14.77181801965788</v>
      </c>
      <c r="I15">
        <f t="shared" si="5"/>
        <v>13</v>
      </c>
      <c r="J15">
        <f t="shared" si="6"/>
        <v>20</v>
      </c>
      <c r="K15">
        <f t="shared" si="7"/>
        <v>172.05643330966072</v>
      </c>
    </row>
    <row r="16" spans="1:15" x14ac:dyDescent="0.35">
      <c r="A16" s="2">
        <v>46035</v>
      </c>
      <c r="B16" s="3">
        <v>0.58333333333333337</v>
      </c>
      <c r="C16">
        <v>10.5</v>
      </c>
      <c r="D16" s="1">
        <f t="shared" si="1"/>
        <v>19.094364680672722</v>
      </c>
      <c r="E16">
        <f t="shared" si="2"/>
        <v>4528.1765966363882</v>
      </c>
      <c r="F16">
        <f t="shared" si="0"/>
        <v>-3437.745872269089</v>
      </c>
      <c r="G16">
        <f t="shared" si="3"/>
        <v>14528.176596636389</v>
      </c>
      <c r="H16">
        <f t="shared" si="4"/>
        <v>14.528176596636388</v>
      </c>
      <c r="I16">
        <f t="shared" si="5"/>
        <v>14</v>
      </c>
      <c r="J16">
        <f t="shared" si="6"/>
        <v>20</v>
      </c>
      <c r="K16">
        <f t="shared" si="7"/>
        <v>186.58460990629712</v>
      </c>
    </row>
    <row r="17" spans="1:11" x14ac:dyDescent="0.35">
      <c r="A17" s="2">
        <v>46035</v>
      </c>
      <c r="B17" s="3">
        <v>0.625</v>
      </c>
      <c r="C17">
        <v>12</v>
      </c>
      <c r="D17" s="1">
        <f t="shared" si="1"/>
        <v>19.133620186749944</v>
      </c>
      <c r="E17">
        <f>MAX(0,MIN($N$5,$N$6*(J17-D17)))</f>
        <v>4331.8990662502802</v>
      </c>
      <c r="F17">
        <f t="shared" si="0"/>
        <v>-2853.4480746999775</v>
      </c>
      <c r="G17">
        <f t="shared" si="3"/>
        <v>14331.89906625028</v>
      </c>
      <c r="H17">
        <f t="shared" si="4"/>
        <v>14.33189906625028</v>
      </c>
      <c r="I17">
        <f t="shared" si="5"/>
        <v>15</v>
      </c>
      <c r="J17">
        <f t="shared" si="6"/>
        <v>20</v>
      </c>
      <c r="K17">
        <f t="shared" si="7"/>
        <v>200.9165089725474</v>
      </c>
    </row>
    <row r="18" spans="1:11" x14ac:dyDescent="0.35">
      <c r="A18" s="2">
        <v>46035</v>
      </c>
      <c r="B18" s="3">
        <v>0.66666666666666663</v>
      </c>
      <c r="C18">
        <v>11.8</v>
      </c>
      <c r="D18" s="1">
        <f t="shared" si="1"/>
        <v>19.186844422445755</v>
      </c>
      <c r="E18">
        <f t="shared" si="2"/>
        <v>4065.7778877712226</v>
      </c>
      <c r="F18">
        <f t="shared" si="0"/>
        <v>-2954.737768978302</v>
      </c>
      <c r="G18">
        <f t="shared" si="3"/>
        <v>14065.777887771223</v>
      </c>
      <c r="H18">
        <f t="shared" si="4"/>
        <v>14.065777887771223</v>
      </c>
      <c r="I18">
        <f t="shared" si="5"/>
        <v>16</v>
      </c>
      <c r="J18">
        <f t="shared" si="6"/>
        <v>20</v>
      </c>
      <c r="K18">
        <f t="shared" si="7"/>
        <v>214.98228686031862</v>
      </c>
    </row>
    <row r="19" spans="1:11" x14ac:dyDescent="0.35">
      <c r="A19" s="2">
        <v>46035</v>
      </c>
      <c r="B19" s="3">
        <v>0.70833333333333337</v>
      </c>
      <c r="C19">
        <v>11.4</v>
      </c>
      <c r="D19" s="1">
        <f t="shared" si="1"/>
        <v>19.2268418667223</v>
      </c>
      <c r="E19">
        <f t="shared" si="2"/>
        <v>3865.7906663885024</v>
      </c>
      <c r="F19">
        <f t="shared" si="0"/>
        <v>-3130.7367466889195</v>
      </c>
      <c r="G19">
        <f t="shared" si="3"/>
        <v>13865.790666388502</v>
      </c>
      <c r="H19">
        <f t="shared" si="4"/>
        <v>13.865790666388502</v>
      </c>
      <c r="I19">
        <f t="shared" si="5"/>
        <v>17</v>
      </c>
      <c r="J19">
        <f t="shared" si="6"/>
        <v>20</v>
      </c>
      <c r="K19">
        <f t="shared" si="7"/>
        <v>228.84807752670713</v>
      </c>
    </row>
    <row r="20" spans="1:11" x14ac:dyDescent="0.35">
      <c r="A20" s="2">
        <v>46035</v>
      </c>
      <c r="B20" s="3">
        <v>0.75</v>
      </c>
      <c r="C20">
        <v>11.2</v>
      </c>
      <c r="D20" s="1">
        <f t="shared" si="1"/>
        <v>19.253303807831486</v>
      </c>
      <c r="E20">
        <f t="shared" si="2"/>
        <v>3733.4809608425703</v>
      </c>
      <c r="F20">
        <f t="shared" si="0"/>
        <v>-3221.3215231325944</v>
      </c>
      <c r="G20">
        <f t="shared" si="3"/>
        <v>13733.480960842571</v>
      </c>
      <c r="H20">
        <f t="shared" si="4"/>
        <v>13.733480960842572</v>
      </c>
      <c r="I20">
        <f t="shared" si="5"/>
        <v>18</v>
      </c>
      <c r="J20">
        <f t="shared" si="6"/>
        <v>20</v>
      </c>
      <c r="K20">
        <f t="shared" si="7"/>
        <v>242.5815584875497</v>
      </c>
    </row>
    <row r="21" spans="1:11" x14ac:dyDescent="0.35">
      <c r="A21" s="2">
        <v>46035</v>
      </c>
      <c r="B21" s="3">
        <v>0.79166666666666663</v>
      </c>
      <c r="C21">
        <v>10.7</v>
      </c>
      <c r="D21" s="1">
        <f t="shared" si="1"/>
        <v>19.271741547589045</v>
      </c>
      <c r="E21">
        <f t="shared" si="2"/>
        <v>3641.2922620547761</v>
      </c>
      <c r="F21">
        <f t="shared" si="0"/>
        <v>-3428.6966190356179</v>
      </c>
      <c r="G21">
        <f t="shared" si="3"/>
        <v>13641.292262054776</v>
      </c>
      <c r="H21">
        <f t="shared" si="4"/>
        <v>13.641292262054776</v>
      </c>
      <c r="I21">
        <f t="shared" si="5"/>
        <v>19</v>
      </c>
      <c r="J21">
        <f t="shared" si="6"/>
        <v>20</v>
      </c>
      <c r="K21">
        <f t="shared" si="7"/>
        <v>256.2228507496045</v>
      </c>
    </row>
    <row r="22" spans="1:11" x14ac:dyDescent="0.35">
      <c r="A22" s="2">
        <v>46035</v>
      </c>
      <c r="B22" s="3">
        <v>0.83333333333333337</v>
      </c>
      <c r="C22">
        <v>10.8</v>
      </c>
      <c r="D22" s="1">
        <f t="shared" si="1"/>
        <v>19.279394990737735</v>
      </c>
      <c r="E22">
        <f t="shared" si="2"/>
        <v>0</v>
      </c>
      <c r="F22">
        <f t="shared" si="0"/>
        <v>-3391.7579962950936</v>
      </c>
      <c r="G22">
        <f t="shared" si="3"/>
        <v>10000</v>
      </c>
      <c r="H22">
        <f t="shared" si="4"/>
        <v>10</v>
      </c>
      <c r="I22">
        <f t="shared" si="5"/>
        <v>20</v>
      </c>
      <c r="J22">
        <f t="shared" si="6"/>
        <v>17</v>
      </c>
      <c r="K22">
        <f t="shared" si="7"/>
        <v>266.2228507496045</v>
      </c>
    </row>
    <row r="23" spans="1:11" x14ac:dyDescent="0.35">
      <c r="A23" s="2">
        <v>46035</v>
      </c>
      <c r="B23" s="3">
        <v>0.875</v>
      </c>
      <c r="C23">
        <v>11.2</v>
      </c>
      <c r="D23" s="1">
        <f t="shared" si="1"/>
        <v>19.157291702871113</v>
      </c>
      <c r="E23">
        <f t="shared" si="2"/>
        <v>0</v>
      </c>
      <c r="F23">
        <f t="shared" si="0"/>
        <v>-3182.9166811484456</v>
      </c>
      <c r="G23">
        <f t="shared" si="3"/>
        <v>10000</v>
      </c>
      <c r="H23">
        <f t="shared" si="4"/>
        <v>10</v>
      </c>
      <c r="I23">
        <f t="shared" si="5"/>
        <v>21</v>
      </c>
      <c r="J23">
        <f t="shared" si="6"/>
        <v>17</v>
      </c>
      <c r="K23">
        <f t="shared" si="7"/>
        <v>276.2228507496045</v>
      </c>
    </row>
    <row r="24" spans="1:11" x14ac:dyDescent="0.35">
      <c r="A24" s="2">
        <v>46035</v>
      </c>
      <c r="B24" s="3">
        <v>0.91666666666666663</v>
      </c>
      <c r="C24">
        <v>11.1</v>
      </c>
      <c r="D24" s="1">
        <f t="shared" si="1"/>
        <v>19.042706702349768</v>
      </c>
      <c r="E24">
        <f t="shared" si="2"/>
        <v>0</v>
      </c>
      <c r="F24">
        <f t="shared" si="0"/>
        <v>-3177.0826809399073</v>
      </c>
      <c r="G24">
        <f t="shared" si="3"/>
        <v>10000</v>
      </c>
      <c r="H24">
        <f t="shared" si="4"/>
        <v>10</v>
      </c>
      <c r="I24">
        <f t="shared" si="5"/>
        <v>22</v>
      </c>
      <c r="J24">
        <f t="shared" si="6"/>
        <v>17</v>
      </c>
      <c r="K24">
        <f t="shared" si="7"/>
        <v>286.2228507496045</v>
      </c>
    </row>
    <row r="25" spans="1:11" x14ac:dyDescent="0.35">
      <c r="A25" s="2">
        <v>46035</v>
      </c>
      <c r="B25" s="3">
        <v>0.95833333333333337</v>
      </c>
      <c r="C25">
        <v>9.8000000000000007</v>
      </c>
      <c r="D25" s="1">
        <f t="shared" si="1"/>
        <v>18.928331725835932</v>
      </c>
      <c r="E25">
        <f t="shared" si="2"/>
        <v>0</v>
      </c>
      <c r="F25">
        <f t="shared" si="0"/>
        <v>-3651.3326903343723</v>
      </c>
      <c r="G25">
        <f t="shared" si="3"/>
        <v>10000</v>
      </c>
      <c r="H25">
        <f t="shared" si="4"/>
        <v>10</v>
      </c>
      <c r="I25">
        <f t="shared" si="5"/>
        <v>23</v>
      </c>
      <c r="J25">
        <f t="shared" si="6"/>
        <v>17</v>
      </c>
      <c r="K25">
        <f t="shared" si="7"/>
        <v>296.2228507496045</v>
      </c>
    </row>
    <row r="26" spans="1:11" x14ac:dyDescent="0.35">
      <c r="A26" s="2">
        <v>46036</v>
      </c>
      <c r="B26" s="3">
        <v>0</v>
      </c>
      <c r="C26">
        <v>9.1999999999999993</v>
      </c>
      <c r="D26" s="1">
        <f t="shared" si="1"/>
        <v>18.796883748983895</v>
      </c>
      <c r="E26">
        <f t="shared" si="2"/>
        <v>0</v>
      </c>
      <c r="F26">
        <f t="shared" si="0"/>
        <v>-3838.753499593558</v>
      </c>
      <c r="G26">
        <f t="shared" si="3"/>
        <v>10000</v>
      </c>
      <c r="H26">
        <f t="shared" si="4"/>
        <v>10</v>
      </c>
      <c r="I26">
        <f t="shared" si="5"/>
        <v>0</v>
      </c>
      <c r="J26">
        <f t="shared" si="6"/>
        <v>17</v>
      </c>
      <c r="K26">
        <f t="shared" si="7"/>
        <v>306.2228507496045</v>
      </c>
    </row>
    <row r="27" spans="1:11" x14ac:dyDescent="0.35">
      <c r="A27" s="2">
        <v>46036</v>
      </c>
      <c r="B27" s="3">
        <v>4.1666666666666664E-2</v>
      </c>
      <c r="C27">
        <v>8.8000000000000007</v>
      </c>
      <c r="D27" s="1">
        <f t="shared" si="1"/>
        <v>18.658688622998525</v>
      </c>
      <c r="E27">
        <f t="shared" si="2"/>
        <v>0</v>
      </c>
      <c r="F27">
        <f t="shared" si="0"/>
        <v>-3943.4754491994099</v>
      </c>
      <c r="G27">
        <f t="shared" si="3"/>
        <v>10000</v>
      </c>
      <c r="H27">
        <f t="shared" si="4"/>
        <v>10</v>
      </c>
      <c r="I27">
        <f t="shared" si="5"/>
        <v>1</v>
      </c>
      <c r="J27">
        <f t="shared" si="6"/>
        <v>17</v>
      </c>
      <c r="K27">
        <f t="shared" si="7"/>
        <v>316.2228507496045</v>
      </c>
    </row>
    <row r="28" spans="1:11" x14ac:dyDescent="0.35">
      <c r="A28" s="2">
        <v>46036</v>
      </c>
      <c r="B28" s="3">
        <v>8.3333333333333329E-2</v>
      </c>
      <c r="C28">
        <v>8.6</v>
      </c>
      <c r="D28" s="1">
        <f t="shared" si="1"/>
        <v>18.516723506827347</v>
      </c>
      <c r="E28">
        <f t="shared" si="2"/>
        <v>0</v>
      </c>
      <c r="F28">
        <f t="shared" si="0"/>
        <v>-3966.689402730939</v>
      </c>
      <c r="G28">
        <f t="shared" si="3"/>
        <v>10000</v>
      </c>
      <c r="H28">
        <f t="shared" si="4"/>
        <v>10</v>
      </c>
      <c r="I28">
        <f t="shared" si="5"/>
        <v>2</v>
      </c>
      <c r="J28">
        <f t="shared" si="6"/>
        <v>17</v>
      </c>
      <c r="K28">
        <f t="shared" si="7"/>
        <v>326.2228507496045</v>
      </c>
    </row>
    <row r="29" spans="1:11" x14ac:dyDescent="0.35">
      <c r="A29" s="2">
        <v>46036</v>
      </c>
      <c r="B29" s="3">
        <v>0.125</v>
      </c>
      <c r="C29">
        <v>8.6999999999999993</v>
      </c>
      <c r="D29" s="1">
        <f t="shared" si="1"/>
        <v>18.373922688329035</v>
      </c>
      <c r="E29">
        <f>MAX(0,MIN($N$5,$N$6*(J29-D29)))</f>
        <v>0</v>
      </c>
      <c r="F29">
        <f t="shared" si="0"/>
        <v>-3869.5690753316144</v>
      </c>
      <c r="G29">
        <f t="shared" si="3"/>
        <v>10000</v>
      </c>
      <c r="H29">
        <f t="shared" si="4"/>
        <v>10</v>
      </c>
      <c r="I29">
        <f t="shared" si="5"/>
        <v>3</v>
      </c>
      <c r="J29">
        <f t="shared" si="6"/>
        <v>17</v>
      </c>
      <c r="K29">
        <f t="shared" si="7"/>
        <v>336.2228507496045</v>
      </c>
    </row>
    <row r="30" spans="1:11" x14ac:dyDescent="0.35">
      <c r="A30" s="2">
        <v>46036</v>
      </c>
      <c r="B30" s="3">
        <v>0.16666666666666666</v>
      </c>
      <c r="C30">
        <v>8.8000000000000007</v>
      </c>
      <c r="D30" s="1">
        <f t="shared" si="1"/>
        <v>18.234618201617096</v>
      </c>
      <c r="E30">
        <f t="shared" si="2"/>
        <v>0</v>
      </c>
      <c r="F30">
        <f t="shared" si="0"/>
        <v>-3773.847280646838</v>
      </c>
      <c r="G30">
        <f t="shared" si="3"/>
        <v>10000</v>
      </c>
      <c r="H30">
        <f t="shared" si="4"/>
        <v>10</v>
      </c>
      <c r="I30">
        <f t="shared" si="5"/>
        <v>4</v>
      </c>
      <c r="J30">
        <f t="shared" si="6"/>
        <v>17</v>
      </c>
      <c r="K30">
        <f t="shared" si="7"/>
        <v>346.2228507496045</v>
      </c>
    </row>
    <row r="31" spans="1:11" x14ac:dyDescent="0.35">
      <c r="A31" s="2">
        <v>46036</v>
      </c>
      <c r="B31" s="3">
        <v>0.20833333333333334</v>
      </c>
      <c r="C31">
        <v>8.8000000000000007</v>
      </c>
      <c r="D31" s="1">
        <f t="shared" si="1"/>
        <v>18.09875969951381</v>
      </c>
      <c r="E31">
        <f t="shared" si="2"/>
        <v>0</v>
      </c>
      <c r="F31">
        <f t="shared" si="0"/>
        <v>-3719.5038798055234</v>
      </c>
      <c r="G31">
        <f t="shared" si="3"/>
        <v>10000</v>
      </c>
      <c r="H31">
        <f t="shared" si="4"/>
        <v>10</v>
      </c>
      <c r="I31">
        <f t="shared" si="5"/>
        <v>5</v>
      </c>
      <c r="J31">
        <f t="shared" si="6"/>
        <v>17</v>
      </c>
      <c r="K31">
        <f t="shared" si="7"/>
        <v>356.2228507496045</v>
      </c>
    </row>
    <row r="32" spans="1:11" x14ac:dyDescent="0.35">
      <c r="A32" s="2">
        <v>46036</v>
      </c>
      <c r="B32" s="3">
        <v>0.25</v>
      </c>
      <c r="C32">
        <v>8.6999999999999993</v>
      </c>
      <c r="D32" s="1">
        <f t="shared" si="1"/>
        <v>17.964857559840812</v>
      </c>
      <c r="E32">
        <f t="shared" si="2"/>
        <v>0</v>
      </c>
      <c r="F32">
        <f t="shared" si="0"/>
        <v>-3705.9430239363251</v>
      </c>
      <c r="G32">
        <f t="shared" si="3"/>
        <v>10000</v>
      </c>
      <c r="H32">
        <f t="shared" si="4"/>
        <v>10</v>
      </c>
      <c r="I32">
        <f t="shared" si="5"/>
        <v>6</v>
      </c>
      <c r="J32">
        <f t="shared" si="6"/>
        <v>17</v>
      </c>
      <c r="K32">
        <f t="shared" si="7"/>
        <v>366.2228507496045</v>
      </c>
    </row>
    <row r="33" spans="1:11" x14ac:dyDescent="0.35">
      <c r="A33" s="2">
        <v>46036</v>
      </c>
      <c r="B33" s="3">
        <v>0.29166666666666669</v>
      </c>
      <c r="C33">
        <v>9</v>
      </c>
      <c r="D33" s="1">
        <f t="shared" si="1"/>
        <v>17.831443610979104</v>
      </c>
      <c r="E33">
        <f t="shared" si="2"/>
        <v>0</v>
      </c>
      <c r="F33">
        <f t="shared" si="0"/>
        <v>-3532.5774443916416</v>
      </c>
      <c r="G33">
        <f t="shared" si="3"/>
        <v>10000</v>
      </c>
      <c r="H33">
        <f t="shared" si="4"/>
        <v>10</v>
      </c>
      <c r="I33">
        <f t="shared" si="5"/>
        <v>7</v>
      </c>
      <c r="J33">
        <f t="shared" si="6"/>
        <v>17</v>
      </c>
      <c r="K33">
        <f t="shared" si="7"/>
        <v>376.2228507496045</v>
      </c>
    </row>
    <row r="34" spans="1:11" x14ac:dyDescent="0.35">
      <c r="A34" s="2">
        <v>46036</v>
      </c>
      <c r="B34" s="3">
        <v>0.33333333333333331</v>
      </c>
      <c r="C34">
        <v>9.1</v>
      </c>
      <c r="D34" s="1">
        <f t="shared" si="1"/>
        <v>17.704270822981005</v>
      </c>
      <c r="E34">
        <f t="shared" si="2"/>
        <v>11478.645885094973</v>
      </c>
      <c r="F34">
        <f t="shared" ref="F34:F65" si="8">(C34-D34)/$N$2</f>
        <v>-3441.7083291924023</v>
      </c>
      <c r="G34">
        <f t="shared" si="3"/>
        <v>21478.645885094971</v>
      </c>
      <c r="H34">
        <f t="shared" si="4"/>
        <v>21.47864588509497</v>
      </c>
      <c r="I34">
        <f t="shared" si="5"/>
        <v>8</v>
      </c>
      <c r="J34">
        <f t="shared" si="6"/>
        <v>20</v>
      </c>
      <c r="K34">
        <f t="shared" si="7"/>
        <v>397.70149663469948</v>
      </c>
    </row>
    <row r="35" spans="1:11" x14ac:dyDescent="0.35">
      <c r="A35" s="2">
        <v>46036</v>
      </c>
      <c r="B35" s="3">
        <v>0.375</v>
      </c>
      <c r="C35">
        <v>9.4</v>
      </c>
      <c r="D35" s="1">
        <f t="shared" ref="D35:D66" si="9">D34+$N$4*((C34-D34)/($N$2*$N$3)+(E34)/$N$3)</f>
        <v>17.993600574993497</v>
      </c>
      <c r="E35">
        <f t="shared" si="2"/>
        <v>10031.997125032514</v>
      </c>
      <c r="F35">
        <f t="shared" si="8"/>
        <v>-3437.4402299973985</v>
      </c>
      <c r="G35">
        <f t="shared" si="3"/>
        <v>20031.997125032514</v>
      </c>
      <c r="H35">
        <f t="shared" si="4"/>
        <v>20.031997125032515</v>
      </c>
      <c r="I35">
        <f t="shared" si="5"/>
        <v>9</v>
      </c>
      <c r="J35">
        <f t="shared" si="6"/>
        <v>20</v>
      </c>
      <c r="K35">
        <f t="shared" si="7"/>
        <v>417.73349375973197</v>
      </c>
    </row>
    <row r="36" spans="1:11" x14ac:dyDescent="0.35">
      <c r="A36" s="2">
        <v>46036</v>
      </c>
      <c r="B36" s="3">
        <v>0.41666666666666669</v>
      </c>
      <c r="C36">
        <v>9.6</v>
      </c>
      <c r="D36" s="1">
        <f t="shared" si="9"/>
        <v>18.231004623214762</v>
      </c>
      <c r="E36">
        <f t="shared" si="2"/>
        <v>8844.9768839261906</v>
      </c>
      <c r="F36">
        <f t="shared" si="8"/>
        <v>-3452.401849285905</v>
      </c>
      <c r="G36">
        <f t="shared" si="3"/>
        <v>18844.976883926189</v>
      </c>
      <c r="H36">
        <f t="shared" si="4"/>
        <v>18.84497688392619</v>
      </c>
      <c r="I36">
        <f t="shared" si="5"/>
        <v>10</v>
      </c>
      <c r="J36">
        <f t="shared" si="6"/>
        <v>20</v>
      </c>
      <c r="K36">
        <f t="shared" si="7"/>
        <v>436.57847064365814</v>
      </c>
    </row>
    <row r="37" spans="1:11" x14ac:dyDescent="0.35">
      <c r="A37" s="2">
        <v>46036</v>
      </c>
      <c r="B37" s="3">
        <v>0.45833333333333331</v>
      </c>
      <c r="C37">
        <v>10</v>
      </c>
      <c r="D37" s="1">
        <f t="shared" si="9"/>
        <v>18.425137324461812</v>
      </c>
      <c r="E37">
        <f t="shared" si="2"/>
        <v>7874.3133776909426</v>
      </c>
      <c r="F37">
        <f t="shared" si="8"/>
        <v>-3370.0549297847247</v>
      </c>
      <c r="G37">
        <f t="shared" si="3"/>
        <v>17874.313377690942</v>
      </c>
      <c r="H37">
        <f t="shared" si="4"/>
        <v>17.874313377690942</v>
      </c>
      <c r="I37">
        <f t="shared" si="5"/>
        <v>11</v>
      </c>
      <c r="J37">
        <f t="shared" si="6"/>
        <v>20</v>
      </c>
      <c r="K37">
        <f t="shared" si="7"/>
        <v>454.45278402134909</v>
      </c>
    </row>
    <row r="38" spans="1:11" x14ac:dyDescent="0.35">
      <c r="A38" s="2">
        <v>46036</v>
      </c>
      <c r="B38" s="3">
        <v>0.5</v>
      </c>
      <c r="C38">
        <v>10.3</v>
      </c>
      <c r="D38" s="1">
        <f t="shared" si="9"/>
        <v>18.587290628586434</v>
      </c>
      <c r="E38">
        <f t="shared" si="2"/>
        <v>7063.5468570678304</v>
      </c>
      <c r="F38">
        <f t="shared" si="8"/>
        <v>-3314.916251434573</v>
      </c>
      <c r="G38">
        <f t="shared" si="3"/>
        <v>17063.546857067831</v>
      </c>
      <c r="H38">
        <f t="shared" si="4"/>
        <v>17.063546857067831</v>
      </c>
      <c r="I38">
        <f t="shared" si="5"/>
        <v>12</v>
      </c>
      <c r="J38">
        <f t="shared" si="6"/>
        <v>20</v>
      </c>
      <c r="K38">
        <f t="shared" si="7"/>
        <v>471.51633087841691</v>
      </c>
    </row>
    <row r="39" spans="1:11" x14ac:dyDescent="0.35">
      <c r="A39" s="2">
        <v>46036</v>
      </c>
      <c r="B39" s="3">
        <v>0.54166666666666663</v>
      </c>
      <c r="C39">
        <v>10.199999999999999</v>
      </c>
      <c r="D39" s="1">
        <f t="shared" si="9"/>
        <v>18.722241330389231</v>
      </c>
      <c r="E39">
        <f t="shared" si="2"/>
        <v>6388.793348053845</v>
      </c>
      <c r="F39">
        <f t="shared" si="8"/>
        <v>-3408.8965321556925</v>
      </c>
      <c r="G39">
        <f t="shared" si="3"/>
        <v>16388.793348053845</v>
      </c>
      <c r="H39">
        <f t="shared" si="4"/>
        <v>16.388793348053845</v>
      </c>
      <c r="I39">
        <f t="shared" si="5"/>
        <v>13</v>
      </c>
      <c r="J39">
        <f t="shared" si="6"/>
        <v>20</v>
      </c>
      <c r="K39">
        <f t="shared" si="7"/>
        <v>487.90512422647078</v>
      </c>
    </row>
    <row r="40" spans="1:11" x14ac:dyDescent="0.35">
      <c r="A40" s="2">
        <v>46036</v>
      </c>
      <c r="B40" s="3">
        <v>0.58333333333333337</v>
      </c>
      <c r="C40">
        <v>10.5</v>
      </c>
      <c r="D40" s="1">
        <f t="shared" si="9"/>
        <v>18.829517615761564</v>
      </c>
      <c r="E40">
        <f t="shared" si="2"/>
        <v>5852.4119211921825</v>
      </c>
      <c r="F40">
        <f t="shared" si="8"/>
        <v>-3331.8070463046251</v>
      </c>
      <c r="G40">
        <f t="shared" si="3"/>
        <v>15852.411921192182</v>
      </c>
      <c r="H40">
        <f t="shared" si="4"/>
        <v>15.852411921192182</v>
      </c>
      <c r="I40">
        <f t="shared" si="5"/>
        <v>14</v>
      </c>
      <c r="J40">
        <f t="shared" si="6"/>
        <v>20</v>
      </c>
      <c r="K40">
        <f t="shared" si="7"/>
        <v>503.75753614766296</v>
      </c>
    </row>
    <row r="41" spans="1:11" x14ac:dyDescent="0.35">
      <c r="A41" s="2">
        <v>46036</v>
      </c>
      <c r="B41" s="3">
        <v>0.625</v>
      </c>
      <c r="C41">
        <v>12.6</v>
      </c>
      <c r="D41" s="1">
        <f t="shared" si="9"/>
        <v>18.920259391257517</v>
      </c>
      <c r="E41">
        <f t="shared" si="2"/>
        <v>5398.7030437124158</v>
      </c>
      <c r="F41">
        <f t="shared" si="8"/>
        <v>-2528.1037565030069</v>
      </c>
      <c r="G41">
        <f t="shared" si="3"/>
        <v>15398.703043712416</v>
      </c>
      <c r="H41">
        <f t="shared" si="4"/>
        <v>15.398703043712416</v>
      </c>
      <c r="I41">
        <f t="shared" si="5"/>
        <v>15</v>
      </c>
      <c r="J41">
        <f t="shared" si="6"/>
        <v>20</v>
      </c>
      <c r="K41">
        <f t="shared" si="7"/>
        <v>519.15623919137533</v>
      </c>
    </row>
    <row r="42" spans="1:11" x14ac:dyDescent="0.35">
      <c r="A42" s="2">
        <v>46036</v>
      </c>
      <c r="B42" s="3">
        <v>0.66666666666666663</v>
      </c>
      <c r="C42">
        <v>11.9</v>
      </c>
      <c r="D42" s="1">
        <f t="shared" si="9"/>
        <v>19.023600965597055</v>
      </c>
      <c r="E42">
        <f t="shared" si="2"/>
        <v>4881.9951720147255</v>
      </c>
      <c r="F42">
        <f t="shared" si="8"/>
        <v>-2849.4403862388217</v>
      </c>
      <c r="G42">
        <f t="shared" si="3"/>
        <v>14881.995172014726</v>
      </c>
      <c r="H42">
        <f t="shared" si="4"/>
        <v>14.881995172014726</v>
      </c>
      <c r="I42">
        <f t="shared" si="5"/>
        <v>16</v>
      </c>
      <c r="J42">
        <f t="shared" si="6"/>
        <v>20</v>
      </c>
      <c r="K42">
        <f t="shared" si="7"/>
        <v>534.03823436339007</v>
      </c>
    </row>
    <row r="43" spans="1:11" x14ac:dyDescent="0.35">
      <c r="A43" s="2">
        <v>46036</v>
      </c>
      <c r="B43" s="3">
        <v>0.70833333333333337</v>
      </c>
      <c r="C43">
        <v>11.6</v>
      </c>
      <c r="D43" s="1">
        <f t="shared" si="9"/>
        <v>19.096772937884989</v>
      </c>
      <c r="E43">
        <f t="shared" si="2"/>
        <v>4516.1353105750559</v>
      </c>
      <c r="F43">
        <f t="shared" si="8"/>
        <v>-2998.7091751539956</v>
      </c>
      <c r="G43">
        <f t="shared" si="3"/>
        <v>14516.135310575057</v>
      </c>
      <c r="H43">
        <f t="shared" si="4"/>
        <v>14.516135310575057</v>
      </c>
      <c r="I43">
        <f t="shared" si="5"/>
        <v>17</v>
      </c>
      <c r="J43">
        <f t="shared" si="6"/>
        <v>20</v>
      </c>
      <c r="K43">
        <f t="shared" si="7"/>
        <v>548.55436967396508</v>
      </c>
    </row>
    <row r="44" spans="1:11" x14ac:dyDescent="0.35">
      <c r="A44" s="2">
        <v>46036</v>
      </c>
      <c r="B44" s="3">
        <v>0.75</v>
      </c>
      <c r="C44">
        <v>11.8</v>
      </c>
      <c r="D44" s="1">
        <f t="shared" si="9"/>
        <v>19.151400278760146</v>
      </c>
      <c r="E44">
        <f>MAX(0,MIN($N$5,$N$6*(J44-D44)))</f>
        <v>4242.9986061992686</v>
      </c>
      <c r="F44">
        <f t="shared" si="8"/>
        <v>-2940.5601115040581</v>
      </c>
      <c r="G44">
        <f t="shared" si="3"/>
        <v>14242.998606199268</v>
      </c>
      <c r="H44">
        <f t="shared" si="4"/>
        <v>14.242998606199267</v>
      </c>
      <c r="I44">
        <f t="shared" si="5"/>
        <v>18</v>
      </c>
      <c r="J44">
        <f t="shared" si="6"/>
        <v>20</v>
      </c>
      <c r="K44">
        <f t="shared" si="7"/>
        <v>562.79736828016439</v>
      </c>
    </row>
    <row r="45" spans="1:11" x14ac:dyDescent="0.35">
      <c r="A45" s="2">
        <v>46036</v>
      </c>
      <c r="B45" s="3">
        <v>0.79166666666666663</v>
      </c>
      <c r="C45">
        <v>11.2</v>
      </c>
      <c r="D45" s="1">
        <f t="shared" si="9"/>
        <v>19.198288064569173</v>
      </c>
      <c r="E45">
        <f t="shared" si="2"/>
        <v>4008.5596771541354</v>
      </c>
      <c r="F45">
        <f t="shared" si="8"/>
        <v>-3199.3152258276696</v>
      </c>
      <c r="G45">
        <f t="shared" si="3"/>
        <v>14008.559677154135</v>
      </c>
      <c r="H45">
        <f t="shared" si="4"/>
        <v>14.008559677154135</v>
      </c>
      <c r="I45">
        <f t="shared" si="5"/>
        <v>19</v>
      </c>
      <c r="J45">
        <f t="shared" si="6"/>
        <v>20</v>
      </c>
      <c r="K45">
        <f t="shared" si="7"/>
        <v>576.80592795731854</v>
      </c>
    </row>
    <row r="46" spans="1:11" x14ac:dyDescent="0.35">
      <c r="A46" s="2">
        <v>46036</v>
      </c>
      <c r="B46" s="3">
        <v>0.83333333333333337</v>
      </c>
      <c r="C46">
        <v>10.9</v>
      </c>
      <c r="D46" s="1">
        <f t="shared" si="9"/>
        <v>19.227420864816924</v>
      </c>
      <c r="E46">
        <f t="shared" si="2"/>
        <v>0</v>
      </c>
      <c r="F46">
        <f t="shared" si="8"/>
        <v>-3330.9683459267694</v>
      </c>
      <c r="G46">
        <f t="shared" si="3"/>
        <v>10000</v>
      </c>
      <c r="H46">
        <f t="shared" si="4"/>
        <v>10</v>
      </c>
      <c r="I46">
        <f t="shared" si="5"/>
        <v>20</v>
      </c>
      <c r="J46">
        <f t="shared" si="6"/>
        <v>17</v>
      </c>
      <c r="K46">
        <f t="shared" si="7"/>
        <v>586.80592795731854</v>
      </c>
    </row>
    <row r="47" spans="1:11" x14ac:dyDescent="0.35">
      <c r="A47" s="2">
        <v>46036</v>
      </c>
      <c r="B47" s="3">
        <v>0.875</v>
      </c>
      <c r="C47">
        <v>10.9</v>
      </c>
      <c r="D47" s="1">
        <f t="shared" si="9"/>
        <v>19.107506004363561</v>
      </c>
      <c r="E47">
        <f t="shared" si="2"/>
        <v>0</v>
      </c>
      <c r="F47">
        <f t="shared" si="8"/>
        <v>-3283.0024017454243</v>
      </c>
      <c r="G47">
        <f t="shared" si="3"/>
        <v>10000</v>
      </c>
      <c r="H47">
        <f t="shared" si="4"/>
        <v>10</v>
      </c>
      <c r="I47">
        <f t="shared" si="5"/>
        <v>21</v>
      </c>
      <c r="J47">
        <f t="shared" si="6"/>
        <v>17</v>
      </c>
      <c r="K47">
        <f t="shared" si="7"/>
        <v>596.80592795731854</v>
      </c>
    </row>
    <row r="48" spans="1:11" x14ac:dyDescent="0.35">
      <c r="A48" s="2">
        <v>46036</v>
      </c>
      <c r="B48" s="3">
        <v>0.91666666666666663</v>
      </c>
      <c r="C48">
        <v>10.4</v>
      </c>
      <c r="D48" s="1">
        <f t="shared" si="9"/>
        <v>18.989317917900724</v>
      </c>
      <c r="E48">
        <f t="shared" si="2"/>
        <v>0</v>
      </c>
      <c r="F48">
        <f t="shared" si="8"/>
        <v>-3435.7271671602894</v>
      </c>
      <c r="G48">
        <f t="shared" si="3"/>
        <v>10000</v>
      </c>
      <c r="H48">
        <f t="shared" si="4"/>
        <v>10</v>
      </c>
      <c r="I48">
        <f t="shared" si="5"/>
        <v>22</v>
      </c>
      <c r="J48">
        <f t="shared" si="6"/>
        <v>17</v>
      </c>
      <c r="K48">
        <f t="shared" si="7"/>
        <v>606.80592795731854</v>
      </c>
    </row>
    <row r="49" spans="1:11" x14ac:dyDescent="0.35">
      <c r="A49" s="2">
        <v>46036</v>
      </c>
      <c r="B49" s="3">
        <v>0.95833333333333337</v>
      </c>
      <c r="C49">
        <v>10.9</v>
      </c>
      <c r="D49" s="1">
        <f t="shared" si="9"/>
        <v>18.865631739882954</v>
      </c>
      <c r="E49">
        <f t="shared" si="2"/>
        <v>0</v>
      </c>
      <c r="F49">
        <f t="shared" si="8"/>
        <v>-3186.252695953181</v>
      </c>
      <c r="G49">
        <f t="shared" si="3"/>
        <v>10000</v>
      </c>
      <c r="H49">
        <f t="shared" si="4"/>
        <v>10</v>
      </c>
      <c r="I49">
        <f t="shared" si="5"/>
        <v>23</v>
      </c>
      <c r="J49">
        <f t="shared" si="6"/>
        <v>17</v>
      </c>
      <c r="K49">
        <f t="shared" si="7"/>
        <v>616.80592795731854</v>
      </c>
    </row>
    <row r="50" spans="1:11" x14ac:dyDescent="0.35">
      <c r="A50" s="2">
        <v>46037</v>
      </c>
      <c r="B50" s="3">
        <v>0</v>
      </c>
      <c r="C50">
        <v>10.7</v>
      </c>
      <c r="D50" s="1">
        <f t="shared" si="9"/>
        <v>18.750926642828638</v>
      </c>
      <c r="E50">
        <f t="shared" si="2"/>
        <v>0</v>
      </c>
      <c r="F50">
        <f t="shared" si="8"/>
        <v>-3220.3706571314556</v>
      </c>
      <c r="G50">
        <f t="shared" si="3"/>
        <v>10000</v>
      </c>
      <c r="H50">
        <f t="shared" si="4"/>
        <v>10</v>
      </c>
      <c r="I50">
        <f t="shared" si="5"/>
        <v>0</v>
      </c>
      <c r="J50">
        <f t="shared" si="6"/>
        <v>17</v>
      </c>
      <c r="K50">
        <f t="shared" si="7"/>
        <v>626.80592795731854</v>
      </c>
    </row>
    <row r="51" spans="1:11" x14ac:dyDescent="0.35">
      <c r="A51" s="2">
        <v>46037</v>
      </c>
      <c r="B51" s="3">
        <v>4.1666666666666664E-2</v>
      </c>
      <c r="C51">
        <v>11.1</v>
      </c>
      <c r="D51" s="1">
        <f t="shared" si="9"/>
        <v>18.634993299171907</v>
      </c>
      <c r="E51">
        <f t="shared" si="2"/>
        <v>0</v>
      </c>
      <c r="F51">
        <f t="shared" si="8"/>
        <v>-3013.9973196687629</v>
      </c>
      <c r="G51">
        <f t="shared" si="3"/>
        <v>10000</v>
      </c>
      <c r="H51">
        <f t="shared" si="4"/>
        <v>10</v>
      </c>
      <c r="I51">
        <f t="shared" si="5"/>
        <v>1</v>
      </c>
      <c r="J51">
        <f t="shared" si="6"/>
        <v>17</v>
      </c>
      <c r="K51">
        <f t="shared" si="7"/>
        <v>636.80592795731854</v>
      </c>
    </row>
    <row r="52" spans="1:11" x14ac:dyDescent="0.35">
      <c r="A52" s="2">
        <v>46037</v>
      </c>
      <c r="B52" s="3">
        <v>8.3333333333333329E-2</v>
      </c>
      <c r="C52">
        <v>10.7</v>
      </c>
      <c r="D52" s="1">
        <f t="shared" si="9"/>
        <v>18.52648939566383</v>
      </c>
      <c r="E52">
        <f t="shared" si="2"/>
        <v>0</v>
      </c>
      <c r="F52">
        <f t="shared" si="8"/>
        <v>-3130.5957582655324</v>
      </c>
      <c r="G52">
        <f t="shared" si="3"/>
        <v>10000</v>
      </c>
      <c r="H52">
        <f t="shared" si="4"/>
        <v>10</v>
      </c>
      <c r="I52">
        <f t="shared" si="5"/>
        <v>2</v>
      </c>
      <c r="J52">
        <f t="shared" si="6"/>
        <v>17</v>
      </c>
      <c r="K52">
        <f t="shared" si="7"/>
        <v>646.80592795731854</v>
      </c>
    </row>
    <row r="53" spans="1:11" x14ac:dyDescent="0.35">
      <c r="A53" s="2">
        <v>46037</v>
      </c>
      <c r="B53" s="3">
        <v>0.125</v>
      </c>
      <c r="C53">
        <v>10.6</v>
      </c>
      <c r="D53" s="1">
        <f t="shared" si="9"/>
        <v>18.41378794836627</v>
      </c>
      <c r="E53">
        <f t="shared" si="2"/>
        <v>0</v>
      </c>
      <c r="F53">
        <f t="shared" si="8"/>
        <v>-3125.5151793465079</v>
      </c>
      <c r="G53">
        <f t="shared" si="3"/>
        <v>10000</v>
      </c>
      <c r="H53">
        <f t="shared" si="4"/>
        <v>10</v>
      </c>
      <c r="I53">
        <f t="shared" si="5"/>
        <v>3</v>
      </c>
      <c r="J53">
        <f t="shared" si="6"/>
        <v>17</v>
      </c>
      <c r="K53">
        <f t="shared" si="7"/>
        <v>656.80592795731854</v>
      </c>
    </row>
    <row r="54" spans="1:11" x14ac:dyDescent="0.35">
      <c r="A54" s="2">
        <v>46037</v>
      </c>
      <c r="B54" s="3">
        <v>0.16666666666666666</v>
      </c>
      <c r="C54">
        <v>10.3</v>
      </c>
      <c r="D54" s="1">
        <f t="shared" si="9"/>
        <v>18.301269401909796</v>
      </c>
      <c r="E54">
        <f t="shared" si="2"/>
        <v>0</v>
      </c>
      <c r="F54">
        <f t="shared" si="8"/>
        <v>-3200.5077607639178</v>
      </c>
      <c r="G54">
        <f t="shared" si="3"/>
        <v>10000</v>
      </c>
      <c r="H54">
        <f t="shared" si="4"/>
        <v>10</v>
      </c>
      <c r="I54">
        <f t="shared" si="5"/>
        <v>4</v>
      </c>
      <c r="J54">
        <f t="shared" si="6"/>
        <v>17</v>
      </c>
      <c r="K54">
        <f t="shared" si="7"/>
        <v>666.80592795731854</v>
      </c>
    </row>
    <row r="55" spans="1:11" x14ac:dyDescent="0.35">
      <c r="A55" s="2">
        <v>46037</v>
      </c>
      <c r="B55" s="3">
        <v>0.20833333333333334</v>
      </c>
      <c r="C55">
        <v>9.5</v>
      </c>
      <c r="D55" s="1">
        <f t="shared" si="9"/>
        <v>18.186051122522294</v>
      </c>
      <c r="E55">
        <f t="shared" si="2"/>
        <v>0</v>
      </c>
      <c r="F55">
        <f t="shared" si="8"/>
        <v>-3474.4204490089173</v>
      </c>
      <c r="G55">
        <f t="shared" si="3"/>
        <v>10000</v>
      </c>
      <c r="H55">
        <f t="shared" si="4"/>
        <v>10</v>
      </c>
      <c r="I55">
        <f t="shared" si="5"/>
        <v>5</v>
      </c>
      <c r="J55">
        <f t="shared" si="6"/>
        <v>17</v>
      </c>
      <c r="K55">
        <f t="shared" si="7"/>
        <v>676.80592795731854</v>
      </c>
    </row>
    <row r="56" spans="1:11" x14ac:dyDescent="0.35">
      <c r="A56" s="2">
        <v>46037</v>
      </c>
      <c r="B56" s="3">
        <v>0.25</v>
      </c>
      <c r="C56">
        <v>9.1</v>
      </c>
      <c r="D56" s="1">
        <f t="shared" si="9"/>
        <v>18.060971986357973</v>
      </c>
      <c r="E56">
        <f t="shared" si="2"/>
        <v>0</v>
      </c>
      <c r="F56">
        <f t="shared" si="8"/>
        <v>-3584.3887945431893</v>
      </c>
      <c r="G56">
        <f t="shared" si="3"/>
        <v>10000</v>
      </c>
      <c r="H56">
        <f t="shared" si="4"/>
        <v>10</v>
      </c>
      <c r="I56">
        <f t="shared" si="5"/>
        <v>6</v>
      </c>
      <c r="J56">
        <f t="shared" si="6"/>
        <v>17</v>
      </c>
      <c r="K56">
        <f t="shared" si="7"/>
        <v>686.80592795731854</v>
      </c>
    </row>
    <row r="57" spans="1:11" x14ac:dyDescent="0.35">
      <c r="A57" s="2">
        <v>46037</v>
      </c>
      <c r="B57" s="3">
        <v>0.29166666666666669</v>
      </c>
      <c r="C57">
        <v>8.8000000000000007</v>
      </c>
      <c r="D57" s="1">
        <f t="shared" si="9"/>
        <v>17.93193398975442</v>
      </c>
      <c r="E57">
        <f t="shared" si="2"/>
        <v>0</v>
      </c>
      <c r="F57">
        <f t="shared" si="8"/>
        <v>-3652.7735959017673</v>
      </c>
      <c r="G57">
        <f t="shared" si="3"/>
        <v>10000</v>
      </c>
      <c r="H57">
        <f t="shared" si="4"/>
        <v>10</v>
      </c>
      <c r="I57">
        <f t="shared" si="5"/>
        <v>7</v>
      </c>
      <c r="J57">
        <f t="shared" si="6"/>
        <v>17</v>
      </c>
      <c r="K57">
        <f t="shared" si="7"/>
        <v>696.80592795731854</v>
      </c>
    </row>
    <row r="58" spans="1:11" x14ac:dyDescent="0.35">
      <c r="A58" s="2">
        <v>46037</v>
      </c>
      <c r="B58" s="3">
        <v>0.33333333333333331</v>
      </c>
      <c r="C58">
        <v>9</v>
      </c>
      <c r="D58" s="1">
        <f t="shared" si="9"/>
        <v>17.800434140301956</v>
      </c>
      <c r="E58">
        <f t="shared" si="2"/>
        <v>10997.82929849022</v>
      </c>
      <c r="F58">
        <f t="shared" si="8"/>
        <v>-3520.1736561207822</v>
      </c>
      <c r="G58">
        <f t="shared" si="3"/>
        <v>20997.829298490222</v>
      </c>
      <c r="H58">
        <f t="shared" si="4"/>
        <v>20.99782929849022</v>
      </c>
      <c r="I58">
        <f t="shared" si="5"/>
        <v>8</v>
      </c>
      <c r="J58">
        <f t="shared" si="6"/>
        <v>20</v>
      </c>
      <c r="K58">
        <f t="shared" si="7"/>
        <v>717.80375725580882</v>
      </c>
    </row>
    <row r="59" spans="1:11" x14ac:dyDescent="0.35">
      <c r="A59" s="2">
        <v>46037</v>
      </c>
      <c r="B59" s="3">
        <v>0.375</v>
      </c>
      <c r="C59">
        <v>9.1</v>
      </c>
      <c r="D59" s="1">
        <f t="shared" si="9"/>
        <v>18.069629743427257</v>
      </c>
      <c r="E59">
        <f t="shared" si="2"/>
        <v>9651.8512828637176</v>
      </c>
      <c r="F59">
        <f t="shared" si="8"/>
        <v>-3587.8518973709029</v>
      </c>
      <c r="G59">
        <f t="shared" si="3"/>
        <v>19651.851282863718</v>
      </c>
      <c r="H59">
        <f t="shared" si="4"/>
        <v>19.651851282863717</v>
      </c>
      <c r="I59">
        <f t="shared" si="5"/>
        <v>9</v>
      </c>
      <c r="J59">
        <f t="shared" si="6"/>
        <v>20</v>
      </c>
      <c r="K59">
        <f t="shared" si="7"/>
        <v>737.45560853867255</v>
      </c>
    </row>
    <row r="60" spans="1:11" x14ac:dyDescent="0.35">
      <c r="A60" s="2">
        <v>46037</v>
      </c>
      <c r="B60" s="3">
        <v>0.41666666666666669</v>
      </c>
      <c r="C60">
        <v>9.9</v>
      </c>
      <c r="D60" s="1">
        <f t="shared" si="9"/>
        <v>18.287933721304999</v>
      </c>
      <c r="E60">
        <f t="shared" si="2"/>
        <v>8560.3313934750076</v>
      </c>
      <c r="F60">
        <f t="shared" si="8"/>
        <v>-3355.1734885219994</v>
      </c>
      <c r="G60">
        <f t="shared" si="3"/>
        <v>18560.331393475008</v>
      </c>
      <c r="H60">
        <f t="shared" si="4"/>
        <v>18.560331393475007</v>
      </c>
      <c r="I60">
        <f t="shared" si="5"/>
        <v>10</v>
      </c>
      <c r="J60">
        <f t="shared" si="6"/>
        <v>20</v>
      </c>
      <c r="K60">
        <f t="shared" si="7"/>
        <v>756.0159399321476</v>
      </c>
    </row>
    <row r="61" spans="1:11" x14ac:dyDescent="0.35">
      <c r="A61" s="2">
        <v>46037</v>
      </c>
      <c r="B61" s="3">
        <v>0.45833333333333331</v>
      </c>
      <c r="C61">
        <v>10.1</v>
      </c>
      <c r="D61" s="1">
        <f t="shared" si="9"/>
        <v>18.475319405883308</v>
      </c>
      <c r="E61">
        <f t="shared" si="2"/>
        <v>7623.4029705834591</v>
      </c>
      <c r="F61">
        <f t="shared" si="8"/>
        <v>-3350.1277623533233</v>
      </c>
      <c r="G61">
        <f t="shared" si="3"/>
        <v>17623.402970583458</v>
      </c>
      <c r="H61">
        <f t="shared" si="4"/>
        <v>17.623402970583459</v>
      </c>
      <c r="I61">
        <f t="shared" si="5"/>
        <v>11</v>
      </c>
      <c r="J61">
        <f t="shared" si="6"/>
        <v>20</v>
      </c>
      <c r="K61">
        <f t="shared" si="7"/>
        <v>773.63934290273107</v>
      </c>
    </row>
    <row r="62" spans="1:11" x14ac:dyDescent="0.35">
      <c r="A62" s="2">
        <v>46037</v>
      </c>
      <c r="B62" s="3">
        <v>0.5</v>
      </c>
      <c r="C62">
        <v>10.7</v>
      </c>
      <c r="D62" s="1">
        <f t="shared" si="9"/>
        <v>18.629157313379594</v>
      </c>
      <c r="E62">
        <f t="shared" si="2"/>
        <v>6854.2134331020325</v>
      </c>
      <c r="F62">
        <f t="shared" si="8"/>
        <v>-3171.6629253518377</v>
      </c>
      <c r="G62">
        <f t="shared" si="3"/>
        <v>16854.213433102032</v>
      </c>
      <c r="H62">
        <f t="shared" si="4"/>
        <v>16.854213433102032</v>
      </c>
      <c r="I62">
        <f t="shared" si="5"/>
        <v>12</v>
      </c>
      <c r="J62">
        <f t="shared" si="6"/>
        <v>20</v>
      </c>
      <c r="K62">
        <f t="shared" si="7"/>
        <v>790.49355633583309</v>
      </c>
    </row>
    <row r="63" spans="1:11" x14ac:dyDescent="0.35">
      <c r="A63" s="2">
        <v>46037</v>
      </c>
      <c r="B63" s="3">
        <v>0.54166666666666663</v>
      </c>
      <c r="C63">
        <v>11.2</v>
      </c>
      <c r="D63" s="1">
        <f t="shared" si="9"/>
        <v>18.761729131658601</v>
      </c>
      <c r="E63">
        <f t="shared" si="2"/>
        <v>6191.3543417069941</v>
      </c>
      <c r="F63">
        <f t="shared" si="8"/>
        <v>-3024.6916526634409</v>
      </c>
      <c r="G63">
        <f t="shared" si="3"/>
        <v>16191.354341706994</v>
      </c>
      <c r="H63">
        <f t="shared" si="4"/>
        <v>16.191354341706994</v>
      </c>
      <c r="I63">
        <f t="shared" si="5"/>
        <v>13</v>
      </c>
      <c r="J63">
        <f t="shared" si="6"/>
        <v>20</v>
      </c>
      <c r="K63">
        <f t="shared" si="7"/>
        <v>806.68491067754007</v>
      </c>
    </row>
    <row r="64" spans="1:11" x14ac:dyDescent="0.35">
      <c r="A64" s="2">
        <v>46037</v>
      </c>
      <c r="B64" s="3">
        <v>0.58333333333333337</v>
      </c>
      <c r="C64">
        <v>11.7</v>
      </c>
      <c r="D64" s="1">
        <f t="shared" si="9"/>
        <v>18.875728988464168</v>
      </c>
      <c r="E64">
        <f t="shared" si="2"/>
        <v>5621.3550576791604</v>
      </c>
      <c r="F64">
        <f t="shared" si="8"/>
        <v>-2870.2915953856673</v>
      </c>
      <c r="G64">
        <f t="shared" si="3"/>
        <v>15621.35505767916</v>
      </c>
      <c r="H64">
        <f t="shared" si="4"/>
        <v>15.62135505767916</v>
      </c>
      <c r="I64">
        <f t="shared" si="5"/>
        <v>14</v>
      </c>
      <c r="J64">
        <f t="shared" si="6"/>
        <v>20</v>
      </c>
      <c r="K64">
        <f t="shared" si="7"/>
        <v>822.3062657352192</v>
      </c>
    </row>
    <row r="65" spans="1:11" x14ac:dyDescent="0.35">
      <c r="A65" s="2">
        <v>46037</v>
      </c>
      <c r="B65" s="3">
        <v>0.625</v>
      </c>
      <c r="C65">
        <v>12.9</v>
      </c>
      <c r="D65" s="1">
        <f t="shared" si="9"/>
        <v>18.974767273106735</v>
      </c>
      <c r="E65">
        <f t="shared" si="2"/>
        <v>5126.1636344663229</v>
      </c>
      <c r="F65">
        <f t="shared" si="8"/>
        <v>-2429.9069092426939</v>
      </c>
      <c r="G65">
        <f t="shared" si="3"/>
        <v>15126.163634466324</v>
      </c>
      <c r="H65">
        <f t="shared" si="4"/>
        <v>15.126163634466323</v>
      </c>
      <c r="I65">
        <f t="shared" si="5"/>
        <v>15</v>
      </c>
      <c r="J65">
        <f t="shared" si="6"/>
        <v>20</v>
      </c>
      <c r="K65">
        <f t="shared" si="7"/>
        <v>837.43242936968556</v>
      </c>
    </row>
    <row r="66" spans="1:11" x14ac:dyDescent="0.35">
      <c r="A66" s="2">
        <v>46037</v>
      </c>
      <c r="B66" s="3">
        <v>0.66666666666666663</v>
      </c>
      <c r="C66">
        <v>12.7</v>
      </c>
      <c r="D66" s="1">
        <f t="shared" si="9"/>
        <v>19.071832515214787</v>
      </c>
      <c r="E66">
        <f t="shared" si="2"/>
        <v>4640.8374239260656</v>
      </c>
      <c r="F66">
        <f t="shared" ref="F66:F97" si="10">(C66-D66)/$N$2</f>
        <v>-2548.7330060859149</v>
      </c>
      <c r="G66">
        <f t="shared" si="3"/>
        <v>14640.837423926067</v>
      </c>
      <c r="H66">
        <f t="shared" si="4"/>
        <v>14.640837423926067</v>
      </c>
      <c r="I66">
        <f t="shared" si="5"/>
        <v>16</v>
      </c>
      <c r="J66">
        <f t="shared" si="6"/>
        <v>20</v>
      </c>
      <c r="K66">
        <f t="shared" si="7"/>
        <v>852.07326679361165</v>
      </c>
    </row>
    <row r="67" spans="1:11" x14ac:dyDescent="0.35">
      <c r="A67" s="2">
        <v>46037</v>
      </c>
      <c r="B67" s="3">
        <v>0.70833333333333337</v>
      </c>
      <c r="C67">
        <v>12.4</v>
      </c>
      <c r="D67" s="1">
        <f t="shared" ref="D67:D98" si="11">D66+$N$4*((C66-D66)/($N$2*$N$3)+(E66)/$N$3)</f>
        <v>19.147148274257031</v>
      </c>
      <c r="E67">
        <f t="shared" ref="E67:E121" si="12">MAX(0,MIN($N$5,$N$6*(J67-D67)))</f>
        <v>4264.2586287148451</v>
      </c>
      <c r="F67">
        <f t="shared" si="10"/>
        <v>-2698.859309702812</v>
      </c>
      <c r="G67">
        <f t="shared" ref="G67:G121" si="13">10000+E67</f>
        <v>14264.258628714844</v>
      </c>
      <c r="H67">
        <f t="shared" ref="H67:H121" si="14">G67/1000</f>
        <v>14.264258628714844</v>
      </c>
      <c r="I67">
        <f t="shared" ref="I67:I121" si="15">HOUR(B67)</f>
        <v>17</v>
      </c>
      <c r="J67">
        <f t="shared" ref="J67:J121" si="16">IF(AND(I67&gt;=8,I67&lt;=19),20,17)</f>
        <v>20</v>
      </c>
      <c r="K67">
        <f t="shared" si="7"/>
        <v>866.33752542232651</v>
      </c>
    </row>
    <row r="68" spans="1:11" x14ac:dyDescent="0.35">
      <c r="A68" s="2">
        <v>46037</v>
      </c>
      <c r="B68" s="3">
        <v>0.75</v>
      </c>
      <c r="C68">
        <v>12.4</v>
      </c>
      <c r="D68" s="1">
        <f t="shared" si="11"/>
        <v>19.203502649741463</v>
      </c>
      <c r="E68">
        <f t="shared" si="12"/>
        <v>3982.4867512926867</v>
      </c>
      <c r="F68">
        <f t="shared" si="10"/>
        <v>-2721.4010598965847</v>
      </c>
      <c r="G68">
        <f t="shared" si="13"/>
        <v>13982.486751292687</v>
      </c>
      <c r="H68">
        <f t="shared" si="14"/>
        <v>13.982486751292686</v>
      </c>
      <c r="I68">
        <f t="shared" si="15"/>
        <v>18</v>
      </c>
      <c r="J68">
        <f t="shared" si="16"/>
        <v>20</v>
      </c>
      <c r="K68">
        <f t="shared" ref="K68:K121" si="17">K67+H68</f>
        <v>880.32001217361915</v>
      </c>
    </row>
    <row r="69" spans="1:11" x14ac:dyDescent="0.35">
      <c r="A69" s="2">
        <v>46037</v>
      </c>
      <c r="B69" s="3">
        <v>0.79166666666666663</v>
      </c>
      <c r="C69">
        <v>12.3</v>
      </c>
      <c r="D69" s="1">
        <f t="shared" si="11"/>
        <v>19.248901734631723</v>
      </c>
      <c r="E69">
        <f t="shared" si="12"/>
        <v>3755.491326841387</v>
      </c>
      <c r="F69">
        <f t="shared" si="10"/>
        <v>-2779.5606938526885</v>
      </c>
      <c r="G69">
        <f t="shared" si="13"/>
        <v>13755.491326841387</v>
      </c>
      <c r="H69">
        <f t="shared" si="14"/>
        <v>13.755491326841387</v>
      </c>
      <c r="I69">
        <f t="shared" si="15"/>
        <v>19</v>
      </c>
      <c r="J69">
        <f t="shared" si="16"/>
        <v>20</v>
      </c>
      <c r="K69">
        <f t="shared" si="17"/>
        <v>894.07550350046051</v>
      </c>
    </row>
    <row r="70" spans="1:11" x14ac:dyDescent="0.35">
      <c r="A70" s="2">
        <v>46037</v>
      </c>
      <c r="B70" s="3">
        <v>0.83333333333333337</v>
      </c>
      <c r="C70">
        <v>12</v>
      </c>
      <c r="D70" s="1">
        <f t="shared" si="11"/>
        <v>19.284035237419317</v>
      </c>
      <c r="E70">
        <f t="shared" si="12"/>
        <v>0</v>
      </c>
      <c r="F70">
        <f t="shared" si="10"/>
        <v>-2913.6140949677269</v>
      </c>
      <c r="G70">
        <f t="shared" si="13"/>
        <v>10000</v>
      </c>
      <c r="H70">
        <f t="shared" si="14"/>
        <v>10</v>
      </c>
      <c r="I70">
        <f t="shared" si="15"/>
        <v>20</v>
      </c>
      <c r="J70">
        <f t="shared" si="16"/>
        <v>17</v>
      </c>
      <c r="K70">
        <f t="shared" si="17"/>
        <v>904.07550350046051</v>
      </c>
    </row>
    <row r="71" spans="1:11" x14ac:dyDescent="0.35">
      <c r="A71" s="2">
        <v>46037</v>
      </c>
      <c r="B71" s="3">
        <v>0.875</v>
      </c>
      <c r="C71">
        <v>11.5</v>
      </c>
      <c r="D71" s="1">
        <f t="shared" si="11"/>
        <v>19.179145130000478</v>
      </c>
      <c r="E71">
        <f t="shared" si="12"/>
        <v>0</v>
      </c>
      <c r="F71">
        <f t="shared" si="10"/>
        <v>-3071.6580520001912</v>
      </c>
      <c r="G71">
        <f t="shared" si="13"/>
        <v>10000</v>
      </c>
      <c r="H71">
        <f t="shared" si="14"/>
        <v>10</v>
      </c>
      <c r="I71">
        <f t="shared" si="15"/>
        <v>21</v>
      </c>
      <c r="J71">
        <f t="shared" si="16"/>
        <v>17</v>
      </c>
      <c r="K71">
        <f t="shared" si="17"/>
        <v>914.07550350046051</v>
      </c>
    </row>
    <row r="72" spans="1:11" x14ac:dyDescent="0.35">
      <c r="A72" s="2">
        <v>46037</v>
      </c>
      <c r="B72" s="3">
        <v>0.91666666666666663</v>
      </c>
      <c r="C72">
        <v>11.2</v>
      </c>
      <c r="D72" s="1">
        <f t="shared" si="11"/>
        <v>19.06856544012847</v>
      </c>
      <c r="E72">
        <f t="shared" si="12"/>
        <v>0</v>
      </c>
      <c r="F72">
        <f t="shared" si="10"/>
        <v>-3147.4261760513882</v>
      </c>
      <c r="G72">
        <f t="shared" si="13"/>
        <v>10000</v>
      </c>
      <c r="H72">
        <f t="shared" si="14"/>
        <v>10</v>
      </c>
      <c r="I72">
        <f t="shared" si="15"/>
        <v>22</v>
      </c>
      <c r="J72">
        <f t="shared" si="16"/>
        <v>17</v>
      </c>
      <c r="K72">
        <f t="shared" si="17"/>
        <v>924.07550350046051</v>
      </c>
    </row>
    <row r="73" spans="1:11" x14ac:dyDescent="0.35">
      <c r="A73" s="2">
        <v>46037</v>
      </c>
      <c r="B73" s="3">
        <v>0.95833333333333337</v>
      </c>
      <c r="C73">
        <v>11.2</v>
      </c>
      <c r="D73" s="1">
        <f t="shared" si="11"/>
        <v>18.955258097790619</v>
      </c>
      <c r="E73">
        <f t="shared" si="12"/>
        <v>0</v>
      </c>
      <c r="F73">
        <f t="shared" si="10"/>
        <v>-3102.1032391162476</v>
      </c>
      <c r="G73">
        <f t="shared" si="13"/>
        <v>10000</v>
      </c>
      <c r="H73">
        <f t="shared" si="14"/>
        <v>10</v>
      </c>
      <c r="I73">
        <f t="shared" si="15"/>
        <v>23</v>
      </c>
      <c r="J73">
        <f t="shared" si="16"/>
        <v>17</v>
      </c>
      <c r="K73">
        <f t="shared" si="17"/>
        <v>934.07550350046051</v>
      </c>
    </row>
    <row r="74" spans="1:11" x14ac:dyDescent="0.35">
      <c r="A74" s="2">
        <v>46038</v>
      </c>
      <c r="B74" s="3">
        <v>0</v>
      </c>
      <c r="C74">
        <v>10.6</v>
      </c>
      <c r="D74" s="1">
        <f t="shared" si="11"/>
        <v>18.843582381182433</v>
      </c>
      <c r="E74">
        <f t="shared" si="12"/>
        <v>0</v>
      </c>
      <c r="F74">
        <f t="shared" si="10"/>
        <v>-3297.4329524729733</v>
      </c>
      <c r="G74">
        <f t="shared" si="13"/>
        <v>10000</v>
      </c>
      <c r="H74">
        <f t="shared" si="14"/>
        <v>10</v>
      </c>
      <c r="I74">
        <f t="shared" si="15"/>
        <v>0</v>
      </c>
      <c r="J74">
        <f t="shared" si="16"/>
        <v>17</v>
      </c>
      <c r="K74">
        <f t="shared" si="17"/>
        <v>944.07550350046051</v>
      </c>
    </row>
    <row r="75" spans="1:11" x14ac:dyDescent="0.35">
      <c r="A75" s="2">
        <v>46038</v>
      </c>
      <c r="B75" s="3">
        <v>4.1666666666666664E-2</v>
      </c>
      <c r="C75">
        <v>10.7</v>
      </c>
      <c r="D75" s="1">
        <f t="shared" si="11"/>
        <v>18.724874794893406</v>
      </c>
      <c r="E75">
        <f t="shared" si="12"/>
        <v>0</v>
      </c>
      <c r="F75">
        <f t="shared" si="10"/>
        <v>-3209.9499179573627</v>
      </c>
      <c r="G75">
        <f t="shared" si="13"/>
        <v>10000</v>
      </c>
      <c r="H75">
        <f t="shared" si="14"/>
        <v>10</v>
      </c>
      <c r="I75">
        <f t="shared" si="15"/>
        <v>1</v>
      </c>
      <c r="J75">
        <f t="shared" si="16"/>
        <v>17</v>
      </c>
      <c r="K75">
        <f t="shared" si="17"/>
        <v>954.07550350046051</v>
      </c>
    </row>
    <row r="76" spans="1:11" x14ac:dyDescent="0.35">
      <c r="A76" s="2">
        <v>46038</v>
      </c>
      <c r="B76" s="3">
        <v>8.3333333333333329E-2</v>
      </c>
      <c r="C76">
        <v>10.4</v>
      </c>
      <c r="D76" s="1">
        <f t="shared" si="11"/>
        <v>18.609316597846941</v>
      </c>
      <c r="E76">
        <f t="shared" si="12"/>
        <v>0</v>
      </c>
      <c r="F76">
        <f t="shared" si="10"/>
        <v>-3283.7266391387766</v>
      </c>
      <c r="G76">
        <f t="shared" si="13"/>
        <v>10000</v>
      </c>
      <c r="H76">
        <f t="shared" si="14"/>
        <v>10</v>
      </c>
      <c r="I76">
        <f t="shared" si="15"/>
        <v>2</v>
      </c>
      <c r="J76">
        <f t="shared" si="16"/>
        <v>17</v>
      </c>
      <c r="K76">
        <f t="shared" si="17"/>
        <v>964.07550350046051</v>
      </c>
    </row>
    <row r="77" spans="1:11" x14ac:dyDescent="0.35">
      <c r="A77" s="2">
        <v>46038</v>
      </c>
      <c r="B77" s="3">
        <v>0.125</v>
      </c>
      <c r="C77">
        <v>10.3</v>
      </c>
      <c r="D77" s="1">
        <f t="shared" si="11"/>
        <v>18.491102438837945</v>
      </c>
      <c r="E77">
        <f t="shared" si="12"/>
        <v>0</v>
      </c>
      <c r="F77">
        <f t="shared" si="10"/>
        <v>-3276.4409755351776</v>
      </c>
      <c r="G77">
        <f t="shared" si="13"/>
        <v>10000</v>
      </c>
      <c r="H77">
        <f t="shared" si="14"/>
        <v>10</v>
      </c>
      <c r="I77">
        <f t="shared" si="15"/>
        <v>3</v>
      </c>
      <c r="J77">
        <f t="shared" si="16"/>
        <v>17</v>
      </c>
      <c r="K77">
        <f t="shared" si="17"/>
        <v>974.07550350046051</v>
      </c>
    </row>
    <row r="78" spans="1:11" x14ac:dyDescent="0.35">
      <c r="A78" s="2">
        <v>46038</v>
      </c>
      <c r="B78" s="3">
        <v>0.16666666666666666</v>
      </c>
      <c r="C78">
        <v>10.1</v>
      </c>
      <c r="D78" s="1">
        <f t="shared" si="11"/>
        <v>18.373150563718678</v>
      </c>
      <c r="E78">
        <f t="shared" si="12"/>
        <v>0</v>
      </c>
      <c r="F78">
        <f t="shared" si="10"/>
        <v>-3309.2602254874714</v>
      </c>
      <c r="G78">
        <f t="shared" si="13"/>
        <v>10000</v>
      </c>
      <c r="H78">
        <f t="shared" si="14"/>
        <v>10</v>
      </c>
      <c r="I78">
        <f t="shared" si="15"/>
        <v>4</v>
      </c>
      <c r="J78">
        <f t="shared" si="16"/>
        <v>17</v>
      </c>
      <c r="K78">
        <f t="shared" si="17"/>
        <v>984.07550350046051</v>
      </c>
    </row>
    <row r="79" spans="1:11" x14ac:dyDescent="0.35">
      <c r="A79" s="2">
        <v>46038</v>
      </c>
      <c r="B79" s="3">
        <v>0.20833333333333334</v>
      </c>
      <c r="C79">
        <v>9.3000000000000007</v>
      </c>
      <c r="D79" s="1">
        <f t="shared" si="11"/>
        <v>18.254017195601129</v>
      </c>
      <c r="E79">
        <f t="shared" si="12"/>
        <v>0</v>
      </c>
      <c r="F79">
        <f t="shared" si="10"/>
        <v>-3581.6068782404514</v>
      </c>
      <c r="G79">
        <f t="shared" si="13"/>
        <v>10000</v>
      </c>
      <c r="H79">
        <f t="shared" si="14"/>
        <v>10</v>
      </c>
      <c r="I79">
        <f t="shared" si="15"/>
        <v>5</v>
      </c>
      <c r="J79">
        <f t="shared" si="16"/>
        <v>17</v>
      </c>
      <c r="K79">
        <f t="shared" si="17"/>
        <v>994.07550350046051</v>
      </c>
    </row>
    <row r="80" spans="1:11" x14ac:dyDescent="0.35">
      <c r="A80" s="2">
        <v>46038</v>
      </c>
      <c r="B80" s="3">
        <v>0.25</v>
      </c>
      <c r="C80">
        <v>8.6</v>
      </c>
      <c r="D80" s="1">
        <f t="shared" si="11"/>
        <v>18.125079347984475</v>
      </c>
      <c r="E80">
        <f t="shared" si="12"/>
        <v>0</v>
      </c>
      <c r="F80">
        <f t="shared" si="10"/>
        <v>-3810.0317391937897</v>
      </c>
      <c r="G80">
        <f t="shared" si="13"/>
        <v>10000</v>
      </c>
      <c r="H80">
        <f t="shared" si="14"/>
        <v>10</v>
      </c>
      <c r="I80">
        <f t="shared" si="15"/>
        <v>6</v>
      </c>
      <c r="J80">
        <f t="shared" si="16"/>
        <v>17</v>
      </c>
      <c r="K80">
        <f t="shared" si="17"/>
        <v>1004.0755035004605</v>
      </c>
    </row>
    <row r="81" spans="1:11" x14ac:dyDescent="0.35">
      <c r="A81" s="2">
        <v>46038</v>
      </c>
      <c r="B81" s="3">
        <v>0.29166666666666669</v>
      </c>
      <c r="C81">
        <v>8.9</v>
      </c>
      <c r="D81" s="1">
        <f t="shared" si="11"/>
        <v>17.987918205373497</v>
      </c>
      <c r="E81">
        <f t="shared" si="12"/>
        <v>0</v>
      </c>
      <c r="F81">
        <f t="shared" si="10"/>
        <v>-3635.1672821493985</v>
      </c>
      <c r="G81">
        <f t="shared" si="13"/>
        <v>10000</v>
      </c>
      <c r="H81">
        <f t="shared" si="14"/>
        <v>10</v>
      </c>
      <c r="I81">
        <f t="shared" si="15"/>
        <v>7</v>
      </c>
      <c r="J81">
        <f t="shared" si="16"/>
        <v>17</v>
      </c>
      <c r="K81">
        <f t="shared" si="17"/>
        <v>1014.0755035004605</v>
      </c>
    </row>
    <row r="82" spans="1:11" x14ac:dyDescent="0.35">
      <c r="A82" s="2">
        <v>46038</v>
      </c>
      <c r="B82" s="3">
        <v>0.33333333333333331</v>
      </c>
      <c r="C82">
        <v>8.9</v>
      </c>
      <c r="D82" s="1">
        <f t="shared" si="11"/>
        <v>17.857052183216119</v>
      </c>
      <c r="E82">
        <f t="shared" si="12"/>
        <v>10714.739083919405</v>
      </c>
      <c r="F82">
        <f t="shared" si="10"/>
        <v>-3582.8208732864473</v>
      </c>
      <c r="G82">
        <f t="shared" si="13"/>
        <v>20714.739083919405</v>
      </c>
      <c r="H82">
        <f t="shared" si="14"/>
        <v>20.714739083919405</v>
      </c>
      <c r="I82">
        <f t="shared" si="15"/>
        <v>8</v>
      </c>
      <c r="J82">
        <f t="shared" si="16"/>
        <v>20</v>
      </c>
      <c r="K82">
        <f t="shared" si="17"/>
        <v>1034.7902425843799</v>
      </c>
    </row>
    <row r="83" spans="1:11" x14ac:dyDescent="0.35">
      <c r="A83" s="2">
        <v>46038</v>
      </c>
      <c r="B83" s="3">
        <v>0.375</v>
      </c>
      <c r="C83">
        <v>9.1</v>
      </c>
      <c r="D83" s="1">
        <f t="shared" si="11"/>
        <v>18.113801238798906</v>
      </c>
      <c r="E83">
        <f t="shared" si="12"/>
        <v>9430.9938060054683</v>
      </c>
      <c r="F83">
        <f t="shared" si="10"/>
        <v>-3605.5204955195627</v>
      </c>
      <c r="G83">
        <f t="shared" si="13"/>
        <v>19430.99380600547</v>
      </c>
      <c r="H83">
        <f t="shared" si="14"/>
        <v>19.430993806005471</v>
      </c>
      <c r="I83">
        <f t="shared" si="15"/>
        <v>9</v>
      </c>
      <c r="J83">
        <f t="shared" si="16"/>
        <v>20</v>
      </c>
      <c r="K83">
        <f t="shared" si="17"/>
        <v>1054.2212363903855</v>
      </c>
    </row>
    <row r="84" spans="1:11" x14ac:dyDescent="0.35">
      <c r="A84" s="2">
        <v>46038</v>
      </c>
      <c r="B84" s="3">
        <v>0.41666666666666669</v>
      </c>
      <c r="C84">
        <v>9.4</v>
      </c>
      <c r="D84" s="1">
        <f t="shared" si="11"/>
        <v>18.323518277976397</v>
      </c>
      <c r="E84">
        <f t="shared" si="12"/>
        <v>8382.4086101180128</v>
      </c>
      <c r="F84">
        <f t="shared" si="10"/>
        <v>-3569.4073111905586</v>
      </c>
      <c r="G84">
        <f t="shared" si="13"/>
        <v>18382.408610118015</v>
      </c>
      <c r="H84">
        <f t="shared" si="14"/>
        <v>18.382408610118013</v>
      </c>
      <c r="I84">
        <f t="shared" si="15"/>
        <v>10</v>
      </c>
      <c r="J84">
        <f t="shared" si="16"/>
        <v>20</v>
      </c>
      <c r="K84">
        <f t="shared" si="17"/>
        <v>1072.6036450005035</v>
      </c>
    </row>
    <row r="85" spans="1:11" x14ac:dyDescent="0.35">
      <c r="A85" s="2">
        <v>46038</v>
      </c>
      <c r="B85" s="3">
        <v>0.45833333333333331</v>
      </c>
      <c r="C85">
        <v>9.5</v>
      </c>
      <c r="D85" s="1">
        <f t="shared" si="11"/>
        <v>18.496786324737787</v>
      </c>
      <c r="E85">
        <f t="shared" si="12"/>
        <v>7516.0683763110646</v>
      </c>
      <c r="F85">
        <f t="shared" si="10"/>
        <v>-3598.7145298951145</v>
      </c>
      <c r="G85">
        <f t="shared" si="13"/>
        <v>17516.068376311065</v>
      </c>
      <c r="H85">
        <f t="shared" si="14"/>
        <v>17.516068376311065</v>
      </c>
      <c r="I85">
        <f t="shared" si="15"/>
        <v>11</v>
      </c>
      <c r="J85">
        <f t="shared" si="16"/>
        <v>20</v>
      </c>
      <c r="K85">
        <f t="shared" si="17"/>
        <v>1090.1197133768146</v>
      </c>
    </row>
    <row r="86" spans="1:11" x14ac:dyDescent="0.35">
      <c r="A86" s="2">
        <v>46038</v>
      </c>
      <c r="B86" s="3">
        <v>0.5</v>
      </c>
      <c r="C86">
        <v>10.3</v>
      </c>
      <c r="D86" s="1">
        <f t="shared" si="11"/>
        <v>18.637811063208762</v>
      </c>
      <c r="E86">
        <f t="shared" si="12"/>
        <v>6810.9446839561906</v>
      </c>
      <c r="F86">
        <f t="shared" si="10"/>
        <v>-3335.1244252835045</v>
      </c>
      <c r="G86">
        <f t="shared" si="13"/>
        <v>16810.94468395619</v>
      </c>
      <c r="H86">
        <f t="shared" si="14"/>
        <v>16.81094468395619</v>
      </c>
      <c r="I86">
        <f t="shared" si="15"/>
        <v>12</v>
      </c>
      <c r="J86">
        <f t="shared" si="16"/>
        <v>20</v>
      </c>
      <c r="K86">
        <f t="shared" si="17"/>
        <v>1106.9306580607708</v>
      </c>
    </row>
    <row r="87" spans="1:11" x14ac:dyDescent="0.35">
      <c r="A87" s="2">
        <v>46038</v>
      </c>
      <c r="B87" s="3">
        <v>0.54166666666666663</v>
      </c>
      <c r="C87">
        <v>10.4</v>
      </c>
      <c r="D87" s="1">
        <f t="shared" si="11"/>
        <v>18.76294059252098</v>
      </c>
      <c r="E87">
        <f t="shared" si="12"/>
        <v>6185.2970373950984</v>
      </c>
      <c r="F87">
        <f t="shared" si="10"/>
        <v>-3345.176237008392</v>
      </c>
      <c r="G87">
        <f t="shared" si="13"/>
        <v>16185.297037395099</v>
      </c>
      <c r="H87">
        <f t="shared" si="14"/>
        <v>16.185297037395099</v>
      </c>
      <c r="I87">
        <f t="shared" si="15"/>
        <v>13</v>
      </c>
      <c r="J87">
        <f t="shared" si="16"/>
        <v>20</v>
      </c>
      <c r="K87">
        <f t="shared" si="17"/>
        <v>1123.1159550981658</v>
      </c>
    </row>
    <row r="88" spans="1:11" x14ac:dyDescent="0.35">
      <c r="A88" s="2">
        <v>46038</v>
      </c>
      <c r="B88" s="3">
        <v>0.58333333333333337</v>
      </c>
      <c r="C88">
        <v>10.4</v>
      </c>
      <c r="D88" s="1">
        <f t="shared" si="11"/>
        <v>18.865184941334903</v>
      </c>
      <c r="E88">
        <f t="shared" si="12"/>
        <v>5674.0752933254871</v>
      </c>
      <c r="F88">
        <f t="shared" si="10"/>
        <v>-3386.0739765339608</v>
      </c>
      <c r="G88">
        <f t="shared" si="13"/>
        <v>15674.075293325488</v>
      </c>
      <c r="H88">
        <f t="shared" si="14"/>
        <v>15.674075293325489</v>
      </c>
      <c r="I88">
        <f t="shared" si="15"/>
        <v>14</v>
      </c>
      <c r="J88">
        <f t="shared" si="16"/>
        <v>20</v>
      </c>
      <c r="K88">
        <f t="shared" si="17"/>
        <v>1138.7900303914914</v>
      </c>
    </row>
    <row r="89" spans="1:11" x14ac:dyDescent="0.35">
      <c r="A89" s="2">
        <v>46038</v>
      </c>
      <c r="B89" s="3">
        <v>0.625</v>
      </c>
      <c r="C89">
        <v>10.8</v>
      </c>
      <c r="D89" s="1">
        <f t="shared" si="11"/>
        <v>18.947552988739396</v>
      </c>
      <c r="E89">
        <f t="shared" si="12"/>
        <v>5262.2350563030195</v>
      </c>
      <c r="F89">
        <f t="shared" si="10"/>
        <v>-3259.0211954957581</v>
      </c>
      <c r="G89">
        <f t="shared" si="13"/>
        <v>15262.23505630302</v>
      </c>
      <c r="H89">
        <f t="shared" si="14"/>
        <v>15.26223505630302</v>
      </c>
      <c r="I89">
        <f t="shared" si="15"/>
        <v>15</v>
      </c>
      <c r="J89">
        <f t="shared" si="16"/>
        <v>20</v>
      </c>
      <c r="K89">
        <f t="shared" si="17"/>
        <v>1154.0522654477945</v>
      </c>
    </row>
    <row r="90" spans="1:11" x14ac:dyDescent="0.35">
      <c r="A90" s="2">
        <v>46038</v>
      </c>
      <c r="B90" s="3">
        <v>0.66666666666666663</v>
      </c>
      <c r="C90">
        <v>10.6</v>
      </c>
      <c r="D90" s="1">
        <f t="shared" si="11"/>
        <v>19.019668687728458</v>
      </c>
      <c r="E90">
        <f t="shared" si="12"/>
        <v>4901.6565613577077</v>
      </c>
      <c r="F90">
        <f t="shared" si="10"/>
        <v>-3367.8674750913833</v>
      </c>
      <c r="G90">
        <f t="shared" si="13"/>
        <v>14901.656561357708</v>
      </c>
      <c r="H90">
        <f t="shared" si="14"/>
        <v>14.901656561357708</v>
      </c>
      <c r="I90">
        <f t="shared" si="15"/>
        <v>16</v>
      </c>
      <c r="J90">
        <f t="shared" si="16"/>
        <v>20</v>
      </c>
      <c r="K90">
        <f t="shared" si="17"/>
        <v>1168.9539220091522</v>
      </c>
    </row>
    <row r="91" spans="1:11" x14ac:dyDescent="0.35">
      <c r="A91" s="2">
        <v>46038</v>
      </c>
      <c r="B91" s="3">
        <v>0.70833333333333337</v>
      </c>
      <c r="C91">
        <v>10.6</v>
      </c>
      <c r="D91" s="1">
        <f t="shared" si="11"/>
        <v>19.074885094834045</v>
      </c>
      <c r="E91">
        <f t="shared" si="12"/>
        <v>4625.5745258297766</v>
      </c>
      <c r="F91">
        <f t="shared" si="10"/>
        <v>-3389.9540379336181</v>
      </c>
      <c r="G91">
        <f t="shared" si="13"/>
        <v>14625.574525829776</v>
      </c>
      <c r="H91">
        <f t="shared" si="14"/>
        <v>14.625574525829776</v>
      </c>
      <c r="I91">
        <f t="shared" si="15"/>
        <v>17</v>
      </c>
      <c r="J91">
        <f t="shared" si="16"/>
        <v>20</v>
      </c>
      <c r="K91">
        <f t="shared" si="17"/>
        <v>1183.5794965349819</v>
      </c>
    </row>
    <row r="92" spans="1:11" x14ac:dyDescent="0.35">
      <c r="A92" s="2">
        <v>46038</v>
      </c>
      <c r="B92" s="3">
        <v>0.75</v>
      </c>
      <c r="C92">
        <v>10.3</v>
      </c>
      <c r="D92" s="1">
        <f t="shared" si="11"/>
        <v>19.119367432398306</v>
      </c>
      <c r="E92">
        <f t="shared" si="12"/>
        <v>4403.1628380084694</v>
      </c>
      <c r="F92">
        <f t="shared" si="10"/>
        <v>-3527.7469729593222</v>
      </c>
      <c r="G92">
        <f t="shared" si="13"/>
        <v>14403.162838008469</v>
      </c>
      <c r="H92">
        <f t="shared" si="14"/>
        <v>14.40316283800847</v>
      </c>
      <c r="I92">
        <f t="shared" si="15"/>
        <v>18</v>
      </c>
      <c r="J92">
        <f t="shared" si="16"/>
        <v>20</v>
      </c>
      <c r="K92">
        <f t="shared" si="17"/>
        <v>1197.9826593729904</v>
      </c>
    </row>
    <row r="93" spans="1:11" x14ac:dyDescent="0.35">
      <c r="A93" s="2">
        <v>46038</v>
      </c>
      <c r="B93" s="3">
        <v>0.79166666666666663</v>
      </c>
      <c r="C93">
        <v>9.8000000000000007</v>
      </c>
      <c r="D93" s="1">
        <f t="shared" si="11"/>
        <v>19.150882403540077</v>
      </c>
      <c r="E93">
        <f t="shared" si="12"/>
        <v>4245.5879822996149</v>
      </c>
      <c r="F93">
        <f t="shared" si="10"/>
        <v>-3740.3529614160307</v>
      </c>
      <c r="G93">
        <f t="shared" si="13"/>
        <v>14245.587982299614</v>
      </c>
      <c r="H93">
        <f t="shared" si="14"/>
        <v>14.245587982299615</v>
      </c>
      <c r="I93">
        <f t="shared" si="15"/>
        <v>19</v>
      </c>
      <c r="J93">
        <f t="shared" si="16"/>
        <v>20</v>
      </c>
      <c r="K93">
        <f t="shared" si="17"/>
        <v>1212.22824735529</v>
      </c>
    </row>
    <row r="94" spans="1:11" x14ac:dyDescent="0.35">
      <c r="A94" s="2">
        <v>46038</v>
      </c>
      <c r="B94" s="3">
        <v>0.83333333333333337</v>
      </c>
      <c r="C94">
        <v>9.6</v>
      </c>
      <c r="D94" s="1">
        <f t="shared" si="11"/>
        <v>19.169070864291886</v>
      </c>
      <c r="E94">
        <f t="shared" si="12"/>
        <v>0</v>
      </c>
      <c r="F94">
        <f t="shared" si="10"/>
        <v>-3827.6283457167542</v>
      </c>
      <c r="G94">
        <f t="shared" si="13"/>
        <v>10000</v>
      </c>
      <c r="H94">
        <f t="shared" si="14"/>
        <v>10</v>
      </c>
      <c r="I94">
        <f t="shared" si="15"/>
        <v>20</v>
      </c>
      <c r="J94">
        <f t="shared" si="16"/>
        <v>17</v>
      </c>
      <c r="K94">
        <f t="shared" si="17"/>
        <v>1222.22824735529</v>
      </c>
    </row>
    <row r="95" spans="1:11" x14ac:dyDescent="0.35">
      <c r="A95" s="2">
        <v>46038</v>
      </c>
      <c r="B95" s="3">
        <v>0.875</v>
      </c>
      <c r="C95">
        <v>9.5</v>
      </c>
      <c r="D95" s="1">
        <f t="shared" si="11"/>
        <v>19.031276243846083</v>
      </c>
      <c r="E95">
        <f t="shared" si="12"/>
        <v>0</v>
      </c>
      <c r="F95">
        <f t="shared" si="10"/>
        <v>-3812.5104975384329</v>
      </c>
      <c r="G95">
        <f t="shared" si="13"/>
        <v>10000</v>
      </c>
      <c r="H95">
        <f t="shared" si="14"/>
        <v>10</v>
      </c>
      <c r="I95">
        <f t="shared" si="15"/>
        <v>21</v>
      </c>
      <c r="J95">
        <f t="shared" si="16"/>
        <v>17</v>
      </c>
      <c r="K95">
        <f t="shared" si="17"/>
        <v>1232.22824735529</v>
      </c>
    </row>
    <row r="96" spans="1:11" x14ac:dyDescent="0.35">
      <c r="A96" s="2">
        <v>46038</v>
      </c>
      <c r="B96" s="3">
        <v>0.91666666666666663</v>
      </c>
      <c r="C96">
        <v>9.5</v>
      </c>
      <c r="D96" s="1">
        <f t="shared" si="11"/>
        <v>18.894025865934701</v>
      </c>
      <c r="E96">
        <f t="shared" si="12"/>
        <v>0</v>
      </c>
      <c r="F96">
        <f t="shared" si="10"/>
        <v>-3757.6103463738805</v>
      </c>
      <c r="G96">
        <f t="shared" si="13"/>
        <v>10000</v>
      </c>
      <c r="H96">
        <f t="shared" si="14"/>
        <v>10</v>
      </c>
      <c r="I96">
        <f t="shared" si="15"/>
        <v>22</v>
      </c>
      <c r="J96">
        <f t="shared" si="16"/>
        <v>17</v>
      </c>
      <c r="K96">
        <f t="shared" si="17"/>
        <v>1242.22824735529</v>
      </c>
    </row>
    <row r="97" spans="1:11" x14ac:dyDescent="0.35">
      <c r="A97" s="2">
        <v>46038</v>
      </c>
      <c r="B97" s="3">
        <v>0.95833333333333337</v>
      </c>
      <c r="C97">
        <v>9.1999999999999993</v>
      </c>
      <c r="D97" s="1">
        <f t="shared" si="11"/>
        <v>18.758751893465242</v>
      </c>
      <c r="E97">
        <f t="shared" si="12"/>
        <v>0</v>
      </c>
      <c r="F97">
        <f t="shared" si="10"/>
        <v>-3823.5007573860967</v>
      </c>
      <c r="G97">
        <f t="shared" si="13"/>
        <v>10000</v>
      </c>
      <c r="H97">
        <f t="shared" si="14"/>
        <v>10</v>
      </c>
      <c r="I97">
        <f t="shared" si="15"/>
        <v>23</v>
      </c>
      <c r="J97">
        <f t="shared" si="16"/>
        <v>17</v>
      </c>
      <c r="K97">
        <f t="shared" si="17"/>
        <v>1252.22824735529</v>
      </c>
    </row>
    <row r="98" spans="1:11" x14ac:dyDescent="0.35">
      <c r="A98" s="2">
        <v>46039</v>
      </c>
      <c r="B98" s="3">
        <v>0</v>
      </c>
      <c r="C98">
        <v>9.1</v>
      </c>
      <c r="D98" s="1">
        <f t="shared" si="11"/>
        <v>18.621105866199343</v>
      </c>
      <c r="E98">
        <f t="shared" si="12"/>
        <v>0</v>
      </c>
      <c r="F98">
        <f t="shared" ref="F98:F121" si="18">(C98-D98)/$N$2</f>
        <v>-3808.4423464797374</v>
      </c>
      <c r="G98">
        <f t="shared" si="13"/>
        <v>10000</v>
      </c>
      <c r="H98">
        <f t="shared" si="14"/>
        <v>10</v>
      </c>
      <c r="I98">
        <f t="shared" si="15"/>
        <v>0</v>
      </c>
      <c r="J98">
        <f t="shared" si="16"/>
        <v>17</v>
      </c>
      <c r="K98">
        <f t="shared" si="17"/>
        <v>1262.22824735529</v>
      </c>
    </row>
    <row r="99" spans="1:11" x14ac:dyDescent="0.35">
      <c r="A99" s="2">
        <v>46039</v>
      </c>
      <c r="B99" s="3">
        <v>4.1666666666666664E-2</v>
      </c>
      <c r="C99">
        <v>9.1</v>
      </c>
      <c r="D99" s="1">
        <f t="shared" ref="D99:D121" si="19">D98+$N$4*((C98-D98)/($N$2*$N$3)+(E98)/$N$3)</f>
        <v>18.484001941726074</v>
      </c>
      <c r="E99">
        <f t="shared" si="12"/>
        <v>0</v>
      </c>
      <c r="F99">
        <f t="shared" si="18"/>
        <v>-3753.6007766904299</v>
      </c>
      <c r="G99">
        <f t="shared" si="13"/>
        <v>10000</v>
      </c>
      <c r="H99">
        <f t="shared" si="14"/>
        <v>10</v>
      </c>
      <c r="I99">
        <f t="shared" si="15"/>
        <v>1</v>
      </c>
      <c r="J99">
        <f t="shared" si="16"/>
        <v>17</v>
      </c>
      <c r="K99">
        <f t="shared" si="17"/>
        <v>1272.22824735529</v>
      </c>
    </row>
    <row r="100" spans="1:11" x14ac:dyDescent="0.35">
      <c r="A100" s="2">
        <v>46039</v>
      </c>
      <c r="B100" s="3">
        <v>8.3333333333333329E-2</v>
      </c>
      <c r="C100">
        <v>8.8000000000000007</v>
      </c>
      <c r="D100" s="1">
        <f t="shared" si="19"/>
        <v>18.34887231376522</v>
      </c>
      <c r="E100">
        <f t="shared" si="12"/>
        <v>0</v>
      </c>
      <c r="F100">
        <f t="shared" si="18"/>
        <v>-3819.5489255060875</v>
      </c>
      <c r="G100">
        <f t="shared" si="13"/>
        <v>10000</v>
      </c>
      <c r="H100">
        <f t="shared" si="14"/>
        <v>10</v>
      </c>
      <c r="I100">
        <f t="shared" si="15"/>
        <v>2</v>
      </c>
      <c r="J100">
        <f t="shared" si="16"/>
        <v>17</v>
      </c>
      <c r="K100">
        <f t="shared" si="17"/>
        <v>1282.22824735529</v>
      </c>
    </row>
    <row r="101" spans="1:11" x14ac:dyDescent="0.35">
      <c r="A101" s="2">
        <v>46039</v>
      </c>
      <c r="B101" s="3">
        <v>0.125</v>
      </c>
      <c r="C101">
        <v>8.4</v>
      </c>
      <c r="D101" s="1">
        <f t="shared" si="19"/>
        <v>18.211368552447002</v>
      </c>
      <c r="E101">
        <f t="shared" si="12"/>
        <v>0</v>
      </c>
      <c r="F101">
        <f t="shared" si="18"/>
        <v>-3924.5474209788008</v>
      </c>
      <c r="G101">
        <f t="shared" si="13"/>
        <v>10000</v>
      </c>
      <c r="H101">
        <f t="shared" si="14"/>
        <v>10</v>
      </c>
      <c r="I101">
        <f t="shared" si="15"/>
        <v>3</v>
      </c>
      <c r="J101">
        <f t="shared" si="16"/>
        <v>17</v>
      </c>
      <c r="K101">
        <f t="shared" si="17"/>
        <v>1292.22824735529</v>
      </c>
    </row>
    <row r="102" spans="1:11" x14ac:dyDescent="0.35">
      <c r="A102" s="2">
        <v>46039</v>
      </c>
      <c r="B102" s="3">
        <v>0.16666666666666666</v>
      </c>
      <c r="C102">
        <v>8.1999999999999993</v>
      </c>
      <c r="D102" s="1">
        <f t="shared" si="19"/>
        <v>18.070084845291767</v>
      </c>
      <c r="E102">
        <f t="shared" si="12"/>
        <v>0</v>
      </c>
      <c r="F102">
        <f t="shared" si="18"/>
        <v>-3948.0339381167068</v>
      </c>
      <c r="G102">
        <f t="shared" si="13"/>
        <v>10000</v>
      </c>
      <c r="H102">
        <f t="shared" si="14"/>
        <v>10</v>
      </c>
      <c r="I102">
        <f t="shared" si="15"/>
        <v>4</v>
      </c>
      <c r="J102">
        <f t="shared" si="16"/>
        <v>17</v>
      </c>
      <c r="K102">
        <f t="shared" si="17"/>
        <v>1302.22824735529</v>
      </c>
    </row>
    <row r="103" spans="1:11" x14ac:dyDescent="0.35">
      <c r="A103" s="2">
        <v>46039</v>
      </c>
      <c r="B103" s="3">
        <v>0.20833333333333334</v>
      </c>
      <c r="C103">
        <v>7.7</v>
      </c>
      <c r="D103" s="1">
        <f t="shared" si="19"/>
        <v>17.927955623519566</v>
      </c>
      <c r="E103">
        <f t="shared" si="12"/>
        <v>0</v>
      </c>
      <c r="F103">
        <f t="shared" si="18"/>
        <v>-4091.1822494078265</v>
      </c>
      <c r="G103">
        <f t="shared" si="13"/>
        <v>10000</v>
      </c>
      <c r="H103">
        <f t="shared" si="14"/>
        <v>10</v>
      </c>
      <c r="I103">
        <f t="shared" si="15"/>
        <v>5</v>
      </c>
      <c r="J103">
        <f t="shared" si="16"/>
        <v>17</v>
      </c>
      <c r="K103">
        <f t="shared" si="17"/>
        <v>1312.22824735529</v>
      </c>
    </row>
    <row r="104" spans="1:11" x14ac:dyDescent="0.35">
      <c r="A104" s="2">
        <v>46039</v>
      </c>
      <c r="B104" s="3">
        <v>0.25</v>
      </c>
      <c r="C104">
        <v>7.8</v>
      </c>
      <c r="D104" s="1">
        <f t="shared" si="19"/>
        <v>17.780673062540885</v>
      </c>
      <c r="E104">
        <f t="shared" si="12"/>
        <v>0</v>
      </c>
      <c r="F104">
        <f t="shared" si="18"/>
        <v>-3992.2692250163536</v>
      </c>
      <c r="G104">
        <f t="shared" si="13"/>
        <v>10000</v>
      </c>
      <c r="H104">
        <f t="shared" si="14"/>
        <v>10</v>
      </c>
      <c r="I104">
        <f t="shared" si="15"/>
        <v>6</v>
      </c>
      <c r="J104">
        <f t="shared" si="16"/>
        <v>17</v>
      </c>
      <c r="K104">
        <f t="shared" si="17"/>
        <v>1322.22824735529</v>
      </c>
    </row>
    <row r="105" spans="1:11" x14ac:dyDescent="0.35">
      <c r="A105" s="2">
        <v>46039</v>
      </c>
      <c r="B105" s="3">
        <v>0.29166666666666669</v>
      </c>
      <c r="C105">
        <v>7.9</v>
      </c>
      <c r="D105" s="1">
        <f t="shared" si="19"/>
        <v>17.636951370440297</v>
      </c>
      <c r="E105">
        <f t="shared" si="12"/>
        <v>0</v>
      </c>
      <c r="F105">
        <f t="shared" si="18"/>
        <v>-3894.7805481761184</v>
      </c>
      <c r="G105">
        <f t="shared" si="13"/>
        <v>10000</v>
      </c>
      <c r="H105">
        <f t="shared" si="14"/>
        <v>10</v>
      </c>
      <c r="I105">
        <f t="shared" si="15"/>
        <v>7</v>
      </c>
      <c r="J105">
        <f t="shared" si="16"/>
        <v>17</v>
      </c>
      <c r="K105">
        <f t="shared" si="17"/>
        <v>1332.22824735529</v>
      </c>
    </row>
    <row r="106" spans="1:11" x14ac:dyDescent="0.35">
      <c r="A106" s="2">
        <v>46039</v>
      </c>
      <c r="B106" s="3">
        <v>0.33333333333333331</v>
      </c>
      <c r="C106">
        <v>7.7</v>
      </c>
      <c r="D106" s="1">
        <f t="shared" si="19"/>
        <v>17.496739270705955</v>
      </c>
      <c r="E106">
        <f t="shared" si="12"/>
        <v>12516.303646470224</v>
      </c>
      <c r="F106">
        <f t="shared" si="18"/>
        <v>-3918.6957082823824</v>
      </c>
      <c r="G106">
        <f t="shared" si="13"/>
        <v>22516.303646470224</v>
      </c>
      <c r="H106">
        <f t="shared" si="14"/>
        <v>22.516303646470224</v>
      </c>
      <c r="I106">
        <f t="shared" si="15"/>
        <v>8</v>
      </c>
      <c r="J106">
        <f t="shared" si="16"/>
        <v>20</v>
      </c>
      <c r="K106">
        <f t="shared" si="17"/>
        <v>1354.7445510017603</v>
      </c>
    </row>
    <row r="107" spans="1:11" x14ac:dyDescent="0.35">
      <c r="A107" s="2">
        <v>46039</v>
      </c>
      <c r="B107" s="3">
        <v>0.375</v>
      </c>
      <c r="C107">
        <v>8.1999999999999993</v>
      </c>
      <c r="D107" s="1">
        <f t="shared" si="19"/>
        <v>17.806253156480718</v>
      </c>
      <c r="E107">
        <f t="shared" si="12"/>
        <v>10968.73421759641</v>
      </c>
      <c r="F107">
        <f t="shared" si="18"/>
        <v>-3842.5012625922873</v>
      </c>
      <c r="G107">
        <f t="shared" si="13"/>
        <v>20968.734217596408</v>
      </c>
      <c r="H107">
        <f t="shared" si="14"/>
        <v>20.968734217596406</v>
      </c>
      <c r="I107">
        <f t="shared" si="15"/>
        <v>9</v>
      </c>
      <c r="J107">
        <f t="shared" si="16"/>
        <v>20</v>
      </c>
      <c r="K107">
        <f t="shared" si="17"/>
        <v>1375.7132852193567</v>
      </c>
    </row>
    <row r="108" spans="1:11" x14ac:dyDescent="0.35">
      <c r="A108" s="2">
        <v>46039</v>
      </c>
      <c r="B108" s="3">
        <v>0.41666666666666669</v>
      </c>
      <c r="C108">
        <v>8.5</v>
      </c>
      <c r="D108" s="1">
        <f t="shared" si="19"/>
        <v>18.062797542860867</v>
      </c>
      <c r="E108">
        <f t="shared" si="12"/>
        <v>9686.0122856956641</v>
      </c>
      <c r="F108">
        <f t="shared" si="18"/>
        <v>-3825.1190171443468</v>
      </c>
      <c r="G108">
        <f t="shared" si="13"/>
        <v>19686.012285695666</v>
      </c>
      <c r="H108">
        <f t="shared" si="14"/>
        <v>19.686012285695664</v>
      </c>
      <c r="I108">
        <f t="shared" si="15"/>
        <v>10</v>
      </c>
      <c r="J108">
        <f t="shared" si="16"/>
        <v>20</v>
      </c>
      <c r="K108">
        <f t="shared" si="17"/>
        <v>1395.3992975050523</v>
      </c>
    </row>
    <row r="109" spans="1:11" x14ac:dyDescent="0.35">
      <c r="A109" s="2">
        <v>46039</v>
      </c>
      <c r="B109" s="3">
        <v>0.45833333333333331</v>
      </c>
      <c r="C109">
        <v>9.3000000000000007</v>
      </c>
      <c r="D109" s="1">
        <f t="shared" si="19"/>
        <v>18.273789700528713</v>
      </c>
      <c r="E109">
        <f t="shared" si="12"/>
        <v>8631.051497356435</v>
      </c>
      <c r="F109">
        <f t="shared" si="18"/>
        <v>-3589.5158802114847</v>
      </c>
      <c r="G109">
        <f t="shared" si="13"/>
        <v>18631.051497356435</v>
      </c>
      <c r="H109">
        <f t="shared" si="14"/>
        <v>18.631051497356435</v>
      </c>
      <c r="I109">
        <f t="shared" si="15"/>
        <v>11</v>
      </c>
      <c r="J109">
        <f t="shared" si="16"/>
        <v>20</v>
      </c>
      <c r="K109">
        <f t="shared" si="17"/>
        <v>1414.0303490024087</v>
      </c>
    </row>
    <row r="110" spans="1:11" x14ac:dyDescent="0.35">
      <c r="A110" s="2">
        <v>46039</v>
      </c>
      <c r="B110" s="3">
        <v>0.5</v>
      </c>
      <c r="C110">
        <v>10</v>
      </c>
      <c r="D110" s="1">
        <f t="shared" si="19"/>
        <v>18.45528498274593</v>
      </c>
      <c r="E110">
        <f t="shared" si="12"/>
        <v>7723.5750862703508</v>
      </c>
      <c r="F110">
        <f t="shared" si="18"/>
        <v>-3382.1139930983718</v>
      </c>
      <c r="G110">
        <f t="shared" si="13"/>
        <v>17723.57508627035</v>
      </c>
      <c r="H110">
        <f t="shared" si="14"/>
        <v>17.723575086270351</v>
      </c>
      <c r="I110">
        <f t="shared" si="15"/>
        <v>12</v>
      </c>
      <c r="J110">
        <f t="shared" si="16"/>
        <v>20</v>
      </c>
      <c r="K110">
        <f t="shared" si="17"/>
        <v>1431.753924088679</v>
      </c>
    </row>
    <row r="111" spans="1:11" x14ac:dyDescent="0.35">
      <c r="A111" s="2">
        <v>46039</v>
      </c>
      <c r="B111" s="3">
        <v>0.54166666666666663</v>
      </c>
      <c r="C111">
        <v>10.8</v>
      </c>
      <c r="D111" s="1">
        <f t="shared" si="19"/>
        <v>18.611577582100121</v>
      </c>
      <c r="E111">
        <f t="shared" si="12"/>
        <v>6942.1120894993928</v>
      </c>
      <c r="F111">
        <f t="shared" si="18"/>
        <v>-3124.6310328400482</v>
      </c>
      <c r="G111">
        <f t="shared" si="13"/>
        <v>16942.112089499395</v>
      </c>
      <c r="H111">
        <f t="shared" si="14"/>
        <v>16.942112089499396</v>
      </c>
      <c r="I111">
        <f t="shared" si="15"/>
        <v>13</v>
      </c>
      <c r="J111">
        <f t="shared" si="16"/>
        <v>20</v>
      </c>
      <c r="K111">
        <f t="shared" si="17"/>
        <v>1448.6960361781785</v>
      </c>
    </row>
    <row r="112" spans="1:11" x14ac:dyDescent="0.35">
      <c r="A112" s="2">
        <v>46039</v>
      </c>
      <c r="B112" s="3">
        <v>0.58333333333333337</v>
      </c>
      <c r="C112">
        <v>11.2</v>
      </c>
      <c r="D112" s="1">
        <f t="shared" si="19"/>
        <v>18.749006900139857</v>
      </c>
      <c r="E112">
        <f t="shared" si="12"/>
        <v>6254.9654993007134</v>
      </c>
      <c r="F112">
        <f t="shared" si="18"/>
        <v>-3019.6027600559432</v>
      </c>
      <c r="G112">
        <f t="shared" si="13"/>
        <v>16254.965499300713</v>
      </c>
      <c r="H112">
        <f t="shared" si="14"/>
        <v>16.254965499300713</v>
      </c>
      <c r="I112">
        <f t="shared" si="15"/>
        <v>14</v>
      </c>
      <c r="J112">
        <f t="shared" si="16"/>
        <v>20</v>
      </c>
      <c r="K112">
        <f t="shared" si="17"/>
        <v>1464.9510016774791</v>
      </c>
    </row>
    <row r="113" spans="1:11" x14ac:dyDescent="0.35">
      <c r="A113" s="2">
        <v>46039</v>
      </c>
      <c r="B113" s="3">
        <v>0.625</v>
      </c>
      <c r="C113">
        <v>11.4</v>
      </c>
      <c r="D113" s="1">
        <f t="shared" si="19"/>
        <v>18.865479958752669</v>
      </c>
      <c r="E113">
        <f t="shared" si="12"/>
        <v>5672.6002062366551</v>
      </c>
      <c r="F113">
        <f t="shared" si="18"/>
        <v>-2986.1919835010672</v>
      </c>
      <c r="G113">
        <f t="shared" si="13"/>
        <v>15672.600206236655</v>
      </c>
      <c r="H113">
        <f t="shared" si="14"/>
        <v>15.672600206236655</v>
      </c>
      <c r="I113">
        <f t="shared" si="15"/>
        <v>15</v>
      </c>
      <c r="J113">
        <f t="shared" si="16"/>
        <v>20</v>
      </c>
      <c r="K113">
        <f t="shared" si="17"/>
        <v>1480.6236018837158</v>
      </c>
    </row>
    <row r="114" spans="1:11" x14ac:dyDescent="0.35">
      <c r="A114" s="2">
        <v>46039</v>
      </c>
      <c r="B114" s="3">
        <v>0.66666666666666663</v>
      </c>
      <c r="C114">
        <v>11.5</v>
      </c>
      <c r="D114" s="1">
        <f t="shared" si="19"/>
        <v>18.962190654771149</v>
      </c>
      <c r="E114">
        <f t="shared" si="12"/>
        <v>5189.0467261442554</v>
      </c>
      <c r="F114">
        <f t="shared" si="18"/>
        <v>-2984.8762619084596</v>
      </c>
      <c r="G114">
        <f t="shared" si="13"/>
        <v>15189.046726144255</v>
      </c>
      <c r="H114">
        <f t="shared" si="14"/>
        <v>15.189046726144255</v>
      </c>
      <c r="I114">
        <f t="shared" si="15"/>
        <v>16</v>
      </c>
      <c r="J114">
        <f t="shared" si="16"/>
        <v>20</v>
      </c>
      <c r="K114">
        <f t="shared" si="17"/>
        <v>1495.8126486098599</v>
      </c>
    </row>
    <row r="115" spans="1:11" x14ac:dyDescent="0.35">
      <c r="A115" s="2">
        <v>46039</v>
      </c>
      <c r="B115" s="3">
        <v>0.70833333333333337</v>
      </c>
      <c r="C115">
        <v>11.4</v>
      </c>
      <c r="D115" s="1">
        <f t="shared" si="19"/>
        <v>19.041540791483637</v>
      </c>
      <c r="E115">
        <f t="shared" si="12"/>
        <v>4792.2960425818137</v>
      </c>
      <c r="F115">
        <f t="shared" si="18"/>
        <v>-3056.6163165934545</v>
      </c>
      <c r="G115">
        <f t="shared" si="13"/>
        <v>14792.296042581813</v>
      </c>
      <c r="H115">
        <f t="shared" si="14"/>
        <v>14.792296042581812</v>
      </c>
      <c r="I115">
        <f t="shared" si="15"/>
        <v>17</v>
      </c>
      <c r="J115">
        <f t="shared" si="16"/>
        <v>20</v>
      </c>
      <c r="K115">
        <f t="shared" si="17"/>
        <v>1510.6049446524416</v>
      </c>
    </row>
    <row r="116" spans="1:11" x14ac:dyDescent="0.35">
      <c r="A116" s="2">
        <v>46039</v>
      </c>
      <c r="B116" s="3">
        <v>0.75</v>
      </c>
      <c r="C116">
        <v>11.1</v>
      </c>
      <c r="D116" s="1">
        <f t="shared" si="19"/>
        <v>19.104025261619217</v>
      </c>
      <c r="E116">
        <f t="shared" si="12"/>
        <v>4479.8736919039147</v>
      </c>
      <c r="F116">
        <f t="shared" si="18"/>
        <v>-3201.610104647687</v>
      </c>
      <c r="G116">
        <f t="shared" si="13"/>
        <v>14479.873691903915</v>
      </c>
      <c r="H116">
        <f t="shared" si="14"/>
        <v>14.479873691903915</v>
      </c>
      <c r="I116">
        <f t="shared" si="15"/>
        <v>18</v>
      </c>
      <c r="J116">
        <f t="shared" si="16"/>
        <v>20</v>
      </c>
      <c r="K116">
        <f t="shared" si="17"/>
        <v>1525.0848183443456</v>
      </c>
    </row>
    <row r="117" spans="1:11" x14ac:dyDescent="0.35">
      <c r="A117" s="2">
        <v>46039</v>
      </c>
      <c r="B117" s="3">
        <v>0.79166666666666663</v>
      </c>
      <c r="C117">
        <v>10.3</v>
      </c>
      <c r="D117" s="1">
        <f t="shared" si="19"/>
        <v>19.150042750760441</v>
      </c>
      <c r="E117">
        <f t="shared" si="12"/>
        <v>4249.7862461977929</v>
      </c>
      <c r="F117">
        <f t="shared" si="18"/>
        <v>-3540.017100304176</v>
      </c>
      <c r="G117">
        <f t="shared" si="13"/>
        <v>14249.786246197793</v>
      </c>
      <c r="H117">
        <f t="shared" si="14"/>
        <v>14.249786246197793</v>
      </c>
      <c r="I117">
        <f t="shared" si="15"/>
        <v>19</v>
      </c>
      <c r="J117">
        <f t="shared" si="16"/>
        <v>20</v>
      </c>
      <c r="K117">
        <f t="shared" si="17"/>
        <v>1539.3346045905434</v>
      </c>
    </row>
    <row r="118" spans="1:11" x14ac:dyDescent="0.35">
      <c r="A118" s="2">
        <v>46039</v>
      </c>
      <c r="B118" s="3">
        <v>0.83333333333333337</v>
      </c>
      <c r="C118">
        <v>9.6999999999999993</v>
      </c>
      <c r="D118" s="1">
        <f t="shared" si="19"/>
        <v>19.175594440012613</v>
      </c>
      <c r="E118">
        <f t="shared" si="12"/>
        <v>0</v>
      </c>
      <c r="F118">
        <f t="shared" si="18"/>
        <v>-3790.2377760050454</v>
      </c>
      <c r="G118">
        <f t="shared" si="13"/>
        <v>10000</v>
      </c>
      <c r="H118">
        <f t="shared" si="14"/>
        <v>10</v>
      </c>
      <c r="I118">
        <f t="shared" si="15"/>
        <v>20</v>
      </c>
      <c r="J118">
        <f t="shared" si="16"/>
        <v>17</v>
      </c>
      <c r="K118">
        <f t="shared" si="17"/>
        <v>1549.3346045905434</v>
      </c>
    </row>
    <row r="119" spans="1:11" x14ac:dyDescent="0.35">
      <c r="A119" s="2">
        <v>46039</v>
      </c>
      <c r="B119" s="3">
        <v>0.875</v>
      </c>
      <c r="C119">
        <v>9.5</v>
      </c>
      <c r="D119" s="1">
        <f t="shared" si="19"/>
        <v>19.039145880076433</v>
      </c>
      <c r="E119">
        <f t="shared" si="12"/>
        <v>0</v>
      </c>
      <c r="F119">
        <f t="shared" si="18"/>
        <v>-3815.658352030573</v>
      </c>
      <c r="G119">
        <f t="shared" si="13"/>
        <v>10000</v>
      </c>
      <c r="H119">
        <f t="shared" si="14"/>
        <v>10</v>
      </c>
      <c r="I119">
        <f t="shared" si="15"/>
        <v>21</v>
      </c>
      <c r="J119">
        <f t="shared" si="16"/>
        <v>17</v>
      </c>
      <c r="K119">
        <f t="shared" si="17"/>
        <v>1559.3346045905434</v>
      </c>
    </row>
    <row r="120" spans="1:11" x14ac:dyDescent="0.35">
      <c r="A120" s="2">
        <v>46039</v>
      </c>
      <c r="B120" s="3">
        <v>0.91666666666666663</v>
      </c>
      <c r="C120">
        <v>9.6999999999999993</v>
      </c>
      <c r="D120" s="1">
        <f t="shared" si="19"/>
        <v>18.90178217940333</v>
      </c>
      <c r="E120">
        <f t="shared" si="12"/>
        <v>0</v>
      </c>
      <c r="F120">
        <f t="shared" si="18"/>
        <v>-3680.7128717613323</v>
      </c>
      <c r="G120">
        <f t="shared" si="13"/>
        <v>10000</v>
      </c>
      <c r="H120">
        <f t="shared" si="14"/>
        <v>10</v>
      </c>
      <c r="I120">
        <f t="shared" si="15"/>
        <v>22</v>
      </c>
      <c r="J120">
        <f t="shared" si="16"/>
        <v>17</v>
      </c>
      <c r="K120">
        <f t="shared" si="17"/>
        <v>1569.3346045905434</v>
      </c>
    </row>
    <row r="121" spans="1:11" x14ac:dyDescent="0.35">
      <c r="A121" s="2">
        <v>46039</v>
      </c>
      <c r="B121" s="3">
        <v>0.95833333333333337</v>
      </c>
      <c r="C121">
        <v>9</v>
      </c>
      <c r="D121" s="1">
        <f t="shared" si="19"/>
        <v>18.769276516019922</v>
      </c>
      <c r="E121">
        <f t="shared" si="12"/>
        <v>0</v>
      </c>
      <c r="F121">
        <f t="shared" si="18"/>
        <v>-3907.7106064079685</v>
      </c>
      <c r="G121">
        <f t="shared" si="13"/>
        <v>10000</v>
      </c>
      <c r="H121">
        <f t="shared" si="14"/>
        <v>10</v>
      </c>
      <c r="I121">
        <f t="shared" si="15"/>
        <v>23</v>
      </c>
      <c r="J121">
        <f t="shared" si="16"/>
        <v>17</v>
      </c>
      <c r="K121">
        <f t="shared" si="17"/>
        <v>1579.3346045905434</v>
      </c>
    </row>
    <row r="122" spans="1:11" x14ac:dyDescent="0.35">
      <c r="H122">
        <f>SUM(H2:H121)</f>
        <v>1579.3346045905434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open-meteo-48.85N2.35E43m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Jacem Hamdi</dc:creator>
  <cp:lastModifiedBy>Jacem Hamdi</cp:lastModifiedBy>
  <dcterms:created xsi:type="dcterms:W3CDTF">2026-02-20T22:01:28Z</dcterms:created>
  <dcterms:modified xsi:type="dcterms:W3CDTF">2026-02-24T00:26:42Z</dcterms:modified>
</cp:coreProperties>
</file>